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1540" yWindow="0" windowWidth="16340" windowHeight="168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N219" i="1" l="1"/>
  <c r="N221" i="1"/>
  <c r="O221" i="1"/>
  <c r="P221" i="1"/>
  <c r="N222" i="1"/>
  <c r="O222" i="1"/>
  <c r="P222" i="1"/>
  <c r="N224" i="1"/>
  <c r="O224" i="1"/>
  <c r="P224" i="1"/>
  <c r="N226" i="1"/>
  <c r="O226" i="1"/>
  <c r="P226" i="1"/>
  <c r="N227" i="1"/>
  <c r="O227" i="1"/>
  <c r="P227" i="1"/>
  <c r="N228" i="1"/>
  <c r="O228" i="1"/>
  <c r="P228" i="1"/>
  <c r="N229" i="1"/>
  <c r="O229" i="1"/>
  <c r="P229" i="1"/>
  <c r="N230" i="1"/>
  <c r="O230" i="1"/>
  <c r="P230" i="1"/>
  <c r="N231" i="1"/>
  <c r="O231" i="1"/>
  <c r="P231" i="1"/>
  <c r="N232" i="1"/>
  <c r="O232" i="1"/>
  <c r="P232" i="1"/>
  <c r="N233" i="1"/>
  <c r="O233" i="1"/>
  <c r="P233" i="1"/>
  <c r="N234" i="1"/>
  <c r="O234" i="1"/>
  <c r="P234" i="1"/>
  <c r="N235" i="1"/>
  <c r="O235" i="1"/>
  <c r="P235" i="1"/>
  <c r="N236" i="1"/>
  <c r="O236" i="1"/>
  <c r="P236" i="1"/>
  <c r="N237" i="1"/>
  <c r="O237" i="1"/>
  <c r="P237" i="1"/>
  <c r="N238" i="1"/>
  <c r="O238" i="1"/>
  <c r="P238" i="1"/>
  <c r="N239" i="1"/>
  <c r="O239" i="1"/>
  <c r="P239" i="1"/>
  <c r="N240" i="1"/>
  <c r="O240" i="1"/>
  <c r="P240" i="1"/>
  <c r="N241" i="1"/>
  <c r="O241" i="1"/>
  <c r="P241" i="1"/>
  <c r="K32" i="1"/>
  <c r="K33" i="1"/>
  <c r="K34" i="1"/>
  <c r="K35" i="1"/>
  <c r="K36" i="1"/>
  <c r="K37" i="1"/>
  <c r="K38" i="1"/>
  <c r="K39" i="1"/>
  <c r="K28" i="1"/>
  <c r="L28" i="1"/>
  <c r="M28" i="1"/>
  <c r="N28" i="1"/>
  <c r="K29" i="1"/>
  <c r="L29" i="1"/>
  <c r="M29" i="1"/>
  <c r="N29" i="1"/>
  <c r="K52" i="1"/>
  <c r="L52" i="1"/>
  <c r="M52" i="1"/>
  <c r="N52" i="1"/>
  <c r="K193" i="1"/>
  <c r="L193" i="1"/>
  <c r="M193" i="1"/>
  <c r="N193" i="1"/>
  <c r="K163" i="1"/>
  <c r="L163" i="1"/>
  <c r="M163" i="1"/>
  <c r="N163" i="1"/>
  <c r="K85" i="1"/>
  <c r="L85" i="1"/>
  <c r="M85" i="1"/>
  <c r="N85" i="1"/>
  <c r="K116" i="1"/>
  <c r="L116" i="1"/>
  <c r="M116" i="1"/>
  <c r="N116" i="1"/>
  <c r="K51" i="1"/>
  <c r="L51" i="1"/>
  <c r="M51" i="1"/>
  <c r="N51" i="1"/>
  <c r="K84" i="1"/>
  <c r="L84" i="1"/>
  <c r="M84" i="1"/>
  <c r="N84" i="1"/>
  <c r="K115" i="1"/>
  <c r="L115" i="1"/>
  <c r="M115" i="1"/>
  <c r="N115" i="1"/>
  <c r="K162" i="1"/>
  <c r="L162" i="1"/>
  <c r="M162" i="1"/>
  <c r="N162" i="1"/>
  <c r="K192" i="1"/>
  <c r="L192" i="1"/>
  <c r="M192" i="1"/>
  <c r="N192" i="1"/>
  <c r="K219" i="1"/>
  <c r="L219" i="1"/>
  <c r="M219" i="1"/>
  <c r="K25" i="1"/>
  <c r="L25" i="1"/>
  <c r="M25" i="1"/>
  <c r="N25" i="1"/>
  <c r="K47" i="1"/>
  <c r="L47" i="1"/>
  <c r="M47" i="1"/>
  <c r="N47" i="1"/>
  <c r="K80" i="1"/>
  <c r="L80" i="1"/>
  <c r="M80" i="1"/>
  <c r="N80" i="1"/>
  <c r="K110" i="1"/>
  <c r="L110" i="1"/>
  <c r="M110" i="1"/>
  <c r="N110" i="1"/>
  <c r="K157" i="1"/>
  <c r="L157" i="1"/>
  <c r="M157" i="1"/>
  <c r="N157" i="1"/>
  <c r="K212" i="1"/>
  <c r="L212" i="1"/>
  <c r="M212" i="1"/>
  <c r="N212" i="1"/>
  <c r="K187" i="1"/>
  <c r="L187" i="1"/>
  <c r="M187" i="1"/>
  <c r="N187" i="1"/>
  <c r="L221" i="1"/>
  <c r="L222" i="1"/>
  <c r="L22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3" i="1"/>
  <c r="M221" i="1"/>
  <c r="M222" i="1"/>
  <c r="M224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3" i="1"/>
  <c r="K221" i="1"/>
  <c r="K222" i="1"/>
  <c r="K224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3" i="1"/>
  <c r="M213" i="1"/>
  <c r="M214" i="1"/>
  <c r="M215" i="1"/>
  <c r="M216" i="1"/>
  <c r="M217" i="1"/>
  <c r="M218" i="1"/>
  <c r="M220" i="1"/>
  <c r="L213" i="1"/>
  <c r="L214" i="1"/>
  <c r="L215" i="1"/>
  <c r="L216" i="1"/>
  <c r="L217" i="1"/>
  <c r="L218" i="1"/>
  <c r="L220" i="1"/>
  <c r="K213" i="1"/>
  <c r="K214" i="1"/>
  <c r="K215" i="1"/>
  <c r="K216" i="1"/>
  <c r="K217" i="1"/>
  <c r="K218" i="1"/>
  <c r="K220" i="1"/>
  <c r="M195" i="1"/>
  <c r="P195" i="1"/>
  <c r="M196" i="1"/>
  <c r="P196" i="1"/>
  <c r="M197" i="1"/>
  <c r="P197" i="1"/>
  <c r="M198" i="1"/>
  <c r="P198" i="1"/>
  <c r="M199" i="1"/>
  <c r="P199" i="1"/>
  <c r="M200" i="1"/>
  <c r="P200" i="1"/>
  <c r="M201" i="1"/>
  <c r="P201" i="1"/>
  <c r="M204" i="1"/>
  <c r="P204" i="1"/>
  <c r="M205" i="1"/>
  <c r="L195" i="1"/>
  <c r="O195" i="1"/>
  <c r="L196" i="1"/>
  <c r="O196" i="1"/>
  <c r="L197" i="1"/>
  <c r="O197" i="1"/>
  <c r="L198" i="1"/>
  <c r="O198" i="1"/>
  <c r="L199" i="1"/>
  <c r="O199" i="1"/>
  <c r="L200" i="1"/>
  <c r="O200" i="1"/>
  <c r="L201" i="1"/>
  <c r="O201" i="1"/>
  <c r="L204" i="1"/>
  <c r="O204" i="1"/>
  <c r="L205" i="1"/>
  <c r="K195" i="1"/>
  <c r="N195" i="1"/>
  <c r="K196" i="1"/>
  <c r="N196" i="1"/>
  <c r="K197" i="1"/>
  <c r="N197" i="1"/>
  <c r="K198" i="1"/>
  <c r="N198" i="1"/>
  <c r="K199" i="1"/>
  <c r="N199" i="1"/>
  <c r="K200" i="1"/>
  <c r="N200" i="1"/>
  <c r="K201" i="1"/>
  <c r="N201" i="1"/>
  <c r="K204" i="1"/>
  <c r="N204" i="1"/>
  <c r="K205" i="1"/>
  <c r="M188" i="1"/>
  <c r="M189" i="1"/>
  <c r="M190" i="1"/>
  <c r="M191" i="1"/>
  <c r="M194" i="1"/>
  <c r="L188" i="1"/>
  <c r="L189" i="1"/>
  <c r="L190" i="1"/>
  <c r="L191" i="1"/>
  <c r="L194" i="1"/>
  <c r="K188" i="1"/>
  <c r="K189" i="1"/>
  <c r="K190" i="1"/>
  <c r="K191" i="1"/>
  <c r="K194" i="1"/>
  <c r="K130" i="1"/>
  <c r="N130" i="1"/>
  <c r="L130" i="1"/>
  <c r="O130" i="1"/>
  <c r="M130" i="1"/>
  <c r="P130" i="1"/>
  <c r="K122" i="1"/>
  <c r="N122" i="1"/>
  <c r="L122" i="1"/>
  <c r="O122" i="1"/>
  <c r="M122" i="1"/>
  <c r="P122" i="1"/>
  <c r="L55" i="1"/>
  <c r="O55" i="1"/>
  <c r="L57" i="1"/>
  <c r="O57" i="1"/>
  <c r="L58" i="1"/>
  <c r="O58" i="1"/>
  <c r="L59" i="1"/>
  <c r="O59" i="1"/>
  <c r="L60" i="1"/>
  <c r="O60" i="1"/>
  <c r="L61" i="1"/>
  <c r="O61" i="1"/>
  <c r="L62" i="1"/>
  <c r="O62" i="1"/>
  <c r="L63" i="1"/>
  <c r="O63" i="1"/>
  <c r="L64" i="1"/>
  <c r="O64" i="1"/>
  <c r="L65" i="1"/>
  <c r="O65" i="1"/>
  <c r="L66" i="1"/>
  <c r="O66" i="1"/>
  <c r="L67" i="1"/>
  <c r="O67" i="1"/>
  <c r="L68" i="1"/>
  <c r="O68" i="1"/>
  <c r="L69" i="1"/>
  <c r="O69" i="1"/>
  <c r="L70" i="1"/>
  <c r="O70" i="1"/>
  <c r="L72" i="1"/>
  <c r="M55" i="1"/>
  <c r="P55" i="1"/>
  <c r="M58" i="1"/>
  <c r="P58" i="1"/>
  <c r="M59" i="1"/>
  <c r="P59" i="1"/>
  <c r="M60" i="1"/>
  <c r="P60" i="1"/>
  <c r="M61" i="1"/>
  <c r="P61" i="1"/>
  <c r="M62" i="1"/>
  <c r="P62" i="1"/>
  <c r="M63" i="1"/>
  <c r="P63" i="1"/>
  <c r="M64" i="1"/>
  <c r="P64" i="1"/>
  <c r="M65" i="1"/>
  <c r="P65" i="1"/>
  <c r="M66" i="1"/>
  <c r="P66" i="1"/>
  <c r="M67" i="1"/>
  <c r="P67" i="1"/>
  <c r="M68" i="1"/>
  <c r="P68" i="1"/>
  <c r="M69" i="1"/>
  <c r="P69" i="1"/>
  <c r="M70" i="1"/>
  <c r="P70" i="1"/>
  <c r="M72" i="1"/>
  <c r="K55" i="1"/>
  <c r="N55" i="1"/>
  <c r="K57" i="1"/>
  <c r="N57" i="1"/>
  <c r="K58" i="1"/>
  <c r="N58" i="1"/>
  <c r="K59" i="1"/>
  <c r="N59" i="1"/>
  <c r="K60" i="1"/>
  <c r="N60" i="1"/>
  <c r="K61" i="1"/>
  <c r="N61" i="1"/>
  <c r="K62" i="1"/>
  <c r="N62" i="1"/>
  <c r="K63" i="1"/>
  <c r="N63" i="1"/>
  <c r="K64" i="1"/>
  <c r="N64" i="1"/>
  <c r="K65" i="1"/>
  <c r="N65" i="1"/>
  <c r="K66" i="1"/>
  <c r="N66" i="1"/>
  <c r="K67" i="1"/>
  <c r="N67" i="1"/>
  <c r="K68" i="1"/>
  <c r="N68" i="1"/>
  <c r="K69" i="1"/>
  <c r="N69" i="1"/>
  <c r="K70" i="1"/>
  <c r="N70" i="1"/>
  <c r="K72" i="1"/>
  <c r="K88" i="1"/>
  <c r="N88" i="1"/>
  <c r="K90" i="1"/>
  <c r="N90" i="1"/>
  <c r="K91" i="1"/>
  <c r="N91" i="1"/>
  <c r="K92" i="1"/>
  <c r="N92" i="1"/>
  <c r="K93" i="1"/>
  <c r="N93" i="1"/>
  <c r="K94" i="1"/>
  <c r="N94" i="1"/>
  <c r="K95" i="1"/>
  <c r="N95" i="1"/>
  <c r="K96" i="1"/>
  <c r="N96" i="1"/>
  <c r="K97" i="1"/>
  <c r="N97" i="1"/>
  <c r="K98" i="1"/>
  <c r="N98" i="1"/>
  <c r="K99" i="1"/>
  <c r="N99" i="1"/>
  <c r="K100" i="1"/>
  <c r="N100" i="1"/>
  <c r="K101" i="1"/>
  <c r="N101" i="1"/>
  <c r="K103" i="1"/>
  <c r="M88" i="1"/>
  <c r="P88" i="1"/>
  <c r="M90" i="1"/>
  <c r="P90" i="1"/>
  <c r="M91" i="1"/>
  <c r="P91" i="1"/>
  <c r="M92" i="1"/>
  <c r="P92" i="1"/>
  <c r="M93" i="1"/>
  <c r="P93" i="1"/>
  <c r="M94" i="1"/>
  <c r="P94" i="1"/>
  <c r="M95" i="1"/>
  <c r="P95" i="1"/>
  <c r="M96" i="1"/>
  <c r="P96" i="1"/>
  <c r="M97" i="1"/>
  <c r="P97" i="1"/>
  <c r="M98" i="1"/>
  <c r="P98" i="1"/>
  <c r="M99" i="1"/>
  <c r="P99" i="1"/>
  <c r="M100" i="1"/>
  <c r="P100" i="1"/>
  <c r="M101" i="1"/>
  <c r="P101" i="1"/>
  <c r="M103" i="1"/>
  <c r="L88" i="1"/>
  <c r="O88" i="1"/>
  <c r="L90" i="1"/>
  <c r="O90" i="1"/>
  <c r="L91" i="1"/>
  <c r="O91" i="1"/>
  <c r="L92" i="1"/>
  <c r="O92" i="1"/>
  <c r="L93" i="1"/>
  <c r="O93" i="1"/>
  <c r="L94" i="1"/>
  <c r="O94" i="1"/>
  <c r="L95" i="1"/>
  <c r="O95" i="1"/>
  <c r="L96" i="1"/>
  <c r="O96" i="1"/>
  <c r="L97" i="1"/>
  <c r="O97" i="1"/>
  <c r="L98" i="1"/>
  <c r="O98" i="1"/>
  <c r="L99" i="1"/>
  <c r="O99" i="1"/>
  <c r="L100" i="1"/>
  <c r="O100" i="1"/>
  <c r="L101" i="1"/>
  <c r="O101" i="1"/>
  <c r="L103" i="1"/>
  <c r="L165" i="1"/>
  <c r="O165" i="1"/>
  <c r="L166" i="1"/>
  <c r="O166" i="1"/>
  <c r="L168" i="1"/>
  <c r="O168" i="1"/>
  <c r="L169" i="1"/>
  <c r="O169" i="1"/>
  <c r="L170" i="1"/>
  <c r="O170" i="1"/>
  <c r="L171" i="1"/>
  <c r="O171" i="1"/>
  <c r="L172" i="1"/>
  <c r="O172" i="1"/>
  <c r="L173" i="1"/>
  <c r="O173" i="1"/>
  <c r="L174" i="1"/>
  <c r="O174" i="1"/>
  <c r="L175" i="1"/>
  <c r="O175" i="1"/>
  <c r="L176" i="1"/>
  <c r="O176" i="1"/>
  <c r="L178" i="1"/>
  <c r="O178" i="1"/>
  <c r="L179" i="1"/>
  <c r="O179" i="1"/>
  <c r="L180" i="1"/>
  <c r="M165" i="1"/>
  <c r="P165" i="1"/>
  <c r="M166" i="1"/>
  <c r="P166" i="1"/>
  <c r="M169" i="1"/>
  <c r="P169" i="1"/>
  <c r="M170" i="1"/>
  <c r="P170" i="1"/>
  <c r="M171" i="1"/>
  <c r="P171" i="1"/>
  <c r="M172" i="1"/>
  <c r="P172" i="1"/>
  <c r="M173" i="1"/>
  <c r="P173" i="1"/>
  <c r="M174" i="1"/>
  <c r="P174" i="1"/>
  <c r="M175" i="1"/>
  <c r="P175" i="1"/>
  <c r="M176" i="1"/>
  <c r="P176" i="1"/>
  <c r="M178" i="1"/>
  <c r="P178" i="1"/>
  <c r="M179" i="1"/>
  <c r="P179" i="1"/>
  <c r="M180" i="1"/>
  <c r="K165" i="1"/>
  <c r="N165" i="1"/>
  <c r="K166" i="1"/>
  <c r="N166" i="1"/>
  <c r="K168" i="1"/>
  <c r="N168" i="1"/>
  <c r="K169" i="1"/>
  <c r="N169" i="1"/>
  <c r="K170" i="1"/>
  <c r="N170" i="1"/>
  <c r="K171" i="1"/>
  <c r="N171" i="1"/>
  <c r="K172" i="1"/>
  <c r="N172" i="1"/>
  <c r="K173" i="1"/>
  <c r="N173" i="1"/>
  <c r="K174" i="1"/>
  <c r="N174" i="1"/>
  <c r="K175" i="1"/>
  <c r="N175" i="1"/>
  <c r="K176" i="1"/>
  <c r="N176" i="1"/>
  <c r="K178" i="1"/>
  <c r="N178" i="1"/>
  <c r="K179" i="1"/>
  <c r="N179" i="1"/>
  <c r="K180" i="1"/>
  <c r="M158" i="1"/>
  <c r="M159" i="1"/>
  <c r="M160" i="1"/>
  <c r="M161" i="1"/>
  <c r="M164" i="1"/>
  <c r="L158" i="1"/>
  <c r="L159" i="1"/>
  <c r="L160" i="1"/>
  <c r="L161" i="1"/>
  <c r="L164" i="1"/>
  <c r="K158" i="1"/>
  <c r="K159" i="1"/>
  <c r="K160" i="1"/>
  <c r="K161" i="1"/>
  <c r="K164" i="1"/>
  <c r="K119" i="1"/>
  <c r="N119" i="1"/>
  <c r="K120" i="1"/>
  <c r="N120" i="1"/>
  <c r="K121" i="1"/>
  <c r="N121" i="1"/>
  <c r="K123" i="1"/>
  <c r="N123" i="1"/>
  <c r="K124" i="1"/>
  <c r="N124" i="1"/>
  <c r="K126" i="1"/>
  <c r="N126" i="1"/>
  <c r="K127" i="1"/>
  <c r="N127" i="1"/>
  <c r="K128" i="1"/>
  <c r="N128" i="1"/>
  <c r="K129" i="1"/>
  <c r="N129" i="1"/>
  <c r="K131" i="1"/>
  <c r="N131" i="1"/>
  <c r="K132" i="1"/>
  <c r="N132" i="1"/>
  <c r="K133" i="1"/>
  <c r="N133" i="1"/>
  <c r="K134" i="1"/>
  <c r="N134" i="1"/>
  <c r="K135" i="1"/>
  <c r="N135" i="1"/>
  <c r="K136" i="1"/>
  <c r="N136" i="1"/>
  <c r="K137" i="1"/>
  <c r="N137" i="1"/>
  <c r="K138" i="1"/>
  <c r="N138" i="1"/>
  <c r="K139" i="1"/>
  <c r="N139" i="1"/>
  <c r="K140" i="1"/>
  <c r="N140" i="1"/>
  <c r="K141" i="1"/>
  <c r="N141" i="1"/>
  <c r="K142" i="1"/>
  <c r="N142" i="1"/>
  <c r="K143" i="1"/>
  <c r="N143" i="1"/>
  <c r="K144" i="1"/>
  <c r="N144" i="1"/>
  <c r="K146" i="1"/>
  <c r="N146" i="1"/>
  <c r="K147" i="1"/>
  <c r="N147" i="1"/>
  <c r="K148" i="1"/>
  <c r="N148" i="1"/>
  <c r="K149" i="1"/>
  <c r="N149" i="1"/>
  <c r="K150" i="1"/>
  <c r="L119" i="1"/>
  <c r="O119" i="1"/>
  <c r="L120" i="1"/>
  <c r="O120" i="1"/>
  <c r="L121" i="1"/>
  <c r="O121" i="1"/>
  <c r="L123" i="1"/>
  <c r="O123" i="1"/>
  <c r="L124" i="1"/>
  <c r="O124" i="1"/>
  <c r="L126" i="1"/>
  <c r="O126" i="1"/>
  <c r="L127" i="1"/>
  <c r="O127" i="1"/>
  <c r="L128" i="1"/>
  <c r="O128" i="1"/>
  <c r="L129" i="1"/>
  <c r="O129" i="1"/>
  <c r="L131" i="1"/>
  <c r="O131" i="1"/>
  <c r="L132" i="1"/>
  <c r="O132" i="1"/>
  <c r="L133" i="1"/>
  <c r="O133" i="1"/>
  <c r="L134" i="1"/>
  <c r="O134" i="1"/>
  <c r="L135" i="1"/>
  <c r="O135" i="1"/>
  <c r="L136" i="1"/>
  <c r="O136" i="1"/>
  <c r="L137" i="1"/>
  <c r="O137" i="1"/>
  <c r="L138" i="1"/>
  <c r="O138" i="1"/>
  <c r="L139" i="1"/>
  <c r="O139" i="1"/>
  <c r="L140" i="1"/>
  <c r="O140" i="1"/>
  <c r="L141" i="1"/>
  <c r="O141" i="1"/>
  <c r="L142" i="1"/>
  <c r="O142" i="1"/>
  <c r="L143" i="1"/>
  <c r="O143" i="1"/>
  <c r="L144" i="1"/>
  <c r="O144" i="1"/>
  <c r="L146" i="1"/>
  <c r="O146" i="1"/>
  <c r="L147" i="1"/>
  <c r="O147" i="1"/>
  <c r="L148" i="1"/>
  <c r="O148" i="1"/>
  <c r="L149" i="1"/>
  <c r="O149" i="1"/>
  <c r="L150" i="1"/>
  <c r="M119" i="1"/>
  <c r="P119" i="1"/>
  <c r="M120" i="1"/>
  <c r="P120" i="1"/>
  <c r="M121" i="1"/>
  <c r="P121" i="1"/>
  <c r="M123" i="1"/>
  <c r="P123" i="1"/>
  <c r="M124" i="1"/>
  <c r="P124" i="1"/>
  <c r="M126" i="1"/>
  <c r="P126" i="1"/>
  <c r="M127" i="1"/>
  <c r="P127" i="1"/>
  <c r="M128" i="1"/>
  <c r="P128" i="1"/>
  <c r="M129" i="1"/>
  <c r="P129" i="1"/>
  <c r="M131" i="1"/>
  <c r="P131" i="1"/>
  <c r="M132" i="1"/>
  <c r="P132" i="1"/>
  <c r="M133" i="1"/>
  <c r="P133" i="1"/>
  <c r="M134" i="1"/>
  <c r="P134" i="1"/>
  <c r="M135" i="1"/>
  <c r="P135" i="1"/>
  <c r="M136" i="1"/>
  <c r="P136" i="1"/>
  <c r="M137" i="1"/>
  <c r="P137" i="1"/>
  <c r="M138" i="1"/>
  <c r="P138" i="1"/>
  <c r="M139" i="1"/>
  <c r="P139" i="1"/>
  <c r="M140" i="1"/>
  <c r="P140" i="1"/>
  <c r="M141" i="1"/>
  <c r="P141" i="1"/>
  <c r="M143" i="1"/>
  <c r="P143" i="1"/>
  <c r="M144" i="1"/>
  <c r="P144" i="1"/>
  <c r="M146" i="1"/>
  <c r="P146" i="1"/>
  <c r="M147" i="1"/>
  <c r="P147" i="1"/>
  <c r="M148" i="1"/>
  <c r="P148" i="1"/>
  <c r="M149" i="1"/>
  <c r="P149" i="1"/>
  <c r="M150" i="1"/>
  <c r="L111" i="1"/>
  <c r="L112" i="1"/>
  <c r="L113" i="1"/>
  <c r="L114" i="1"/>
  <c r="L117" i="1"/>
  <c r="L118" i="1"/>
  <c r="M111" i="1"/>
  <c r="M112" i="1"/>
  <c r="M113" i="1"/>
  <c r="M114" i="1"/>
  <c r="M117" i="1"/>
  <c r="M118" i="1"/>
  <c r="K111" i="1"/>
  <c r="K112" i="1"/>
  <c r="K113" i="1"/>
  <c r="K114" i="1"/>
  <c r="K117" i="1"/>
  <c r="K118" i="1"/>
  <c r="M81" i="1"/>
  <c r="M82" i="1"/>
  <c r="M83" i="1"/>
  <c r="M86" i="1"/>
  <c r="M87" i="1"/>
  <c r="L81" i="1"/>
  <c r="L82" i="1"/>
  <c r="L83" i="1"/>
  <c r="L86" i="1"/>
  <c r="L87" i="1"/>
  <c r="K81" i="1"/>
  <c r="K82" i="1"/>
  <c r="K83" i="1"/>
  <c r="K86" i="1"/>
  <c r="K87" i="1"/>
  <c r="M71" i="1"/>
  <c r="L56" i="1"/>
  <c r="L71" i="1"/>
  <c r="K71" i="1"/>
  <c r="K56" i="1"/>
  <c r="K48" i="1"/>
  <c r="K49" i="1"/>
  <c r="K50" i="1"/>
  <c r="K53" i="1"/>
  <c r="K54" i="1"/>
  <c r="L48" i="1"/>
  <c r="L49" i="1"/>
  <c r="L50" i="1"/>
  <c r="L53" i="1"/>
  <c r="L54" i="1"/>
  <c r="M48" i="1"/>
  <c r="M49" i="1"/>
  <c r="M50" i="1"/>
  <c r="M53" i="1"/>
  <c r="M54" i="1"/>
  <c r="L32" i="1"/>
  <c r="L33" i="1"/>
  <c r="L34" i="1"/>
  <c r="L35" i="1"/>
  <c r="L36" i="1"/>
  <c r="L37" i="1"/>
  <c r="L38" i="1"/>
  <c r="L39" i="1"/>
  <c r="M32" i="1"/>
  <c r="M33" i="1"/>
  <c r="M34" i="1"/>
  <c r="M35" i="1"/>
  <c r="M36" i="1"/>
  <c r="M37" i="1"/>
  <c r="M38" i="1"/>
  <c r="M39" i="1"/>
  <c r="L26" i="1"/>
  <c r="L27" i="1"/>
  <c r="L30" i="1"/>
  <c r="L31" i="1"/>
  <c r="M26" i="1"/>
  <c r="M27" i="1"/>
  <c r="M30" i="1"/>
  <c r="M31" i="1"/>
  <c r="K26" i="1"/>
  <c r="K27" i="1"/>
  <c r="K30" i="1"/>
  <c r="K31" i="1"/>
  <c r="L223" i="1"/>
  <c r="L225" i="1"/>
  <c r="L242" i="1"/>
  <c r="L244" i="1"/>
  <c r="M223" i="1"/>
  <c r="M225" i="1"/>
  <c r="M242" i="1"/>
  <c r="M244" i="1"/>
  <c r="L245" i="1"/>
  <c r="M245" i="1"/>
  <c r="L246" i="1"/>
  <c r="M246" i="1"/>
  <c r="K223" i="1"/>
  <c r="K225" i="1"/>
  <c r="K242" i="1"/>
  <c r="L202" i="1"/>
  <c r="L203" i="1"/>
  <c r="L206" i="1"/>
  <c r="M202" i="1"/>
  <c r="M203" i="1"/>
  <c r="M206" i="1"/>
  <c r="L207" i="1"/>
  <c r="M207" i="1"/>
  <c r="L208" i="1"/>
  <c r="M208" i="1"/>
  <c r="K202" i="1"/>
  <c r="K203" i="1"/>
  <c r="L167" i="1"/>
  <c r="L177" i="1"/>
  <c r="L181" i="1"/>
  <c r="M167" i="1"/>
  <c r="M168" i="1"/>
  <c r="M177" i="1"/>
  <c r="M181" i="1"/>
  <c r="L182" i="1"/>
  <c r="M182" i="1"/>
  <c r="L183" i="1"/>
  <c r="M183" i="1"/>
  <c r="K167" i="1"/>
  <c r="K177" i="1"/>
  <c r="L125" i="1"/>
  <c r="L145" i="1"/>
  <c r="L151" i="1"/>
  <c r="M125" i="1"/>
  <c r="M142" i="1"/>
  <c r="M145" i="1"/>
  <c r="M151" i="1"/>
  <c r="L152" i="1"/>
  <c r="M152" i="1"/>
  <c r="L153" i="1"/>
  <c r="M153" i="1"/>
  <c r="K125" i="1"/>
  <c r="K145" i="1"/>
  <c r="L89" i="1"/>
  <c r="L102" i="1"/>
  <c r="L104" i="1"/>
  <c r="M89" i="1"/>
  <c r="M102" i="1"/>
  <c r="M104" i="1"/>
  <c r="L105" i="1"/>
  <c r="M105" i="1"/>
  <c r="L106" i="1"/>
  <c r="M106" i="1"/>
  <c r="K89" i="1"/>
  <c r="K102" i="1"/>
  <c r="L73" i="1"/>
  <c r="M73" i="1"/>
  <c r="L74" i="1"/>
  <c r="M74" i="1"/>
  <c r="L75" i="1"/>
  <c r="M75" i="1"/>
  <c r="L40" i="1"/>
  <c r="M40" i="1"/>
  <c r="L41" i="1"/>
  <c r="M41" i="1"/>
  <c r="L42" i="1"/>
  <c r="M42" i="1"/>
  <c r="K207" i="1"/>
  <c r="K245" i="1"/>
  <c r="K182" i="1"/>
  <c r="K206" i="1"/>
  <c r="K181" i="1"/>
  <c r="K104" i="1"/>
  <c r="K41" i="1"/>
  <c r="K42" i="1"/>
  <c r="K40" i="1"/>
  <c r="K208" i="1"/>
  <c r="K246" i="1"/>
  <c r="K244" i="1"/>
  <c r="K183" i="1"/>
  <c r="K152" i="1"/>
  <c r="K105" i="1"/>
  <c r="K74" i="1"/>
  <c r="K153" i="1"/>
  <c r="K151" i="1"/>
  <c r="K106" i="1"/>
  <c r="K75" i="1"/>
  <c r="K73" i="1"/>
  <c r="E213" i="1"/>
  <c r="E214" i="1"/>
  <c r="E215" i="1"/>
  <c r="E216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17" i="1"/>
  <c r="E218" i="1"/>
  <c r="E219" i="1"/>
  <c r="E212" i="1"/>
  <c r="H188" i="1"/>
  <c r="H189" i="1"/>
  <c r="H195" i="1"/>
  <c r="H196" i="1"/>
  <c r="H197" i="1"/>
  <c r="H199" i="1"/>
  <c r="H200" i="1"/>
  <c r="H201" i="1"/>
  <c r="H202" i="1"/>
  <c r="H203" i="1"/>
  <c r="H204" i="1"/>
  <c r="H190" i="1"/>
  <c r="H191" i="1"/>
  <c r="H192" i="1"/>
  <c r="H193" i="1"/>
  <c r="H187" i="1"/>
  <c r="H158" i="1"/>
  <c r="H159" i="1"/>
  <c r="H165" i="1"/>
  <c r="H166" i="1"/>
  <c r="H167" i="1"/>
  <c r="H168" i="1"/>
  <c r="H169" i="1"/>
  <c r="H170" i="1"/>
  <c r="H171" i="1"/>
  <c r="H172" i="1"/>
  <c r="H173" i="1"/>
  <c r="H174" i="1"/>
  <c r="H175" i="1"/>
  <c r="H177" i="1"/>
  <c r="H178" i="1"/>
  <c r="H179" i="1"/>
  <c r="H160" i="1"/>
  <c r="H161" i="1"/>
  <c r="H162" i="1"/>
  <c r="H163" i="1"/>
  <c r="H157" i="1"/>
  <c r="H110" i="1"/>
  <c r="H111" i="1"/>
  <c r="H112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6" i="1"/>
  <c r="H147" i="1"/>
  <c r="H148" i="1"/>
  <c r="H149" i="1"/>
  <c r="H113" i="1"/>
  <c r="H114" i="1"/>
  <c r="H115" i="1"/>
  <c r="H116" i="1"/>
  <c r="H117" i="1"/>
  <c r="H80" i="1"/>
  <c r="H81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82" i="1"/>
  <c r="H83" i="1"/>
  <c r="H84" i="1"/>
  <c r="H85" i="1"/>
  <c r="H86" i="1"/>
  <c r="H47" i="1"/>
  <c r="H48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49" i="1"/>
  <c r="H50" i="1"/>
  <c r="H51" i="1"/>
  <c r="H52" i="1"/>
  <c r="H53" i="1"/>
  <c r="H35" i="1"/>
  <c r="H36" i="1"/>
  <c r="H32" i="1"/>
  <c r="H33" i="1"/>
  <c r="H34" i="1"/>
  <c r="H37" i="1"/>
  <c r="H38" i="1"/>
  <c r="H26" i="1"/>
  <c r="H27" i="1"/>
  <c r="H28" i="1"/>
  <c r="H29" i="1"/>
  <c r="H30" i="1"/>
  <c r="H25" i="1"/>
</calcChain>
</file>

<file path=xl/sharedStrings.xml><?xml version="1.0" encoding="utf-8"?>
<sst xmlns="http://schemas.openxmlformats.org/spreadsheetml/2006/main" count="524" uniqueCount="211">
  <si>
    <t>Kentucky Test Nebulae</t>
  </si>
  <si>
    <t>LHBeta</t>
  </si>
  <si>
    <t>[NII]+</t>
  </si>
  <si>
    <t>[OII]+</t>
  </si>
  <si>
    <t>[NeII]</t>
  </si>
  <si>
    <t>[SII]+</t>
  </si>
  <si>
    <t>[SIII]</t>
  </si>
  <si>
    <t>Ltot</t>
  </si>
  <si>
    <t>Tin</t>
  </si>
  <si>
    <t>T(H+)</t>
  </si>
  <si>
    <t>&lt;He+&gt;/&lt;H+&gt;</t>
  </si>
  <si>
    <t>Rout</t>
  </si>
  <si>
    <t>E36</t>
  </si>
  <si>
    <t>6584+</t>
  </si>
  <si>
    <t>3727+</t>
  </si>
  <si>
    <t>12.8µ</t>
  </si>
  <si>
    <t>6720+</t>
  </si>
  <si>
    <t>18.7µ</t>
  </si>
  <si>
    <t>34µ</t>
  </si>
  <si>
    <t>9532+</t>
  </si>
  <si>
    <t>K</t>
  </si>
  <si>
    <t>E18</t>
  </si>
  <si>
    <t>Cloudy</t>
  </si>
  <si>
    <t>Pat</t>
  </si>
  <si>
    <t>HeI</t>
  </si>
  <si>
    <t>CII</t>
  </si>
  <si>
    <t>CIII]</t>
  </si>
  <si>
    <t>[NII]</t>
  </si>
  <si>
    <t>[NIII]</t>
  </si>
  <si>
    <t>[OII]</t>
  </si>
  <si>
    <t>[OIII]</t>
  </si>
  <si>
    <t>[NeIII]</t>
  </si>
  <si>
    <t>[SII]</t>
  </si>
  <si>
    <t>[SIV]</t>
  </si>
  <si>
    <t>E37</t>
  </si>
  <si>
    <t>2326+</t>
  </si>
  <si>
    <t>1909+</t>
  </si>
  <si>
    <t>122µ</t>
  </si>
  <si>
    <t>57µ</t>
  </si>
  <si>
    <t>51.8µ</t>
  </si>
  <si>
    <t>88.4µ</t>
  </si>
  <si>
    <t>5007+</t>
  </si>
  <si>
    <t>15.5µ</t>
  </si>
  <si>
    <t>3869+</t>
  </si>
  <si>
    <t>10.5µ</t>
  </si>
  <si>
    <t>Q/phi(H)</t>
  </si>
  <si>
    <t>Rinner</t>
  </si>
  <si>
    <t>TBB</t>
  </si>
  <si>
    <t>Geomery</t>
  </si>
  <si>
    <t>Stopping</t>
  </si>
  <si>
    <t>nH</t>
  </si>
  <si>
    <t>He</t>
  </si>
  <si>
    <t>C</t>
  </si>
  <si>
    <t>N</t>
  </si>
  <si>
    <t>O</t>
  </si>
  <si>
    <t>Ne</t>
  </si>
  <si>
    <t>Mg</t>
  </si>
  <si>
    <t>Si</t>
  </si>
  <si>
    <t>S</t>
  </si>
  <si>
    <t>Ar</t>
  </si>
  <si>
    <t>T2</t>
  </si>
  <si>
    <t>T3</t>
  </si>
  <si>
    <t>T1 Parameteters</t>
  </si>
  <si>
    <t>3(18)</t>
  </si>
  <si>
    <t>20kK</t>
  </si>
  <si>
    <t>Closed</t>
  </si>
  <si>
    <t>4.26(49)</t>
  </si>
  <si>
    <t>40kK</t>
  </si>
  <si>
    <t>RStar</t>
  </si>
  <si>
    <t>1.3(12)</t>
  </si>
  <si>
    <t>7.245(12)</t>
  </si>
  <si>
    <t>1.0(49)</t>
  </si>
  <si>
    <t>T4</t>
  </si>
  <si>
    <t>T5</t>
  </si>
  <si>
    <t>5.42(47)</t>
  </si>
  <si>
    <t>1(17)</t>
  </si>
  <si>
    <t>150kK</t>
  </si>
  <si>
    <t>T6</t>
  </si>
  <si>
    <t>T7</t>
  </si>
  <si>
    <t>T8</t>
  </si>
  <si>
    <t>3.853(47)</t>
  </si>
  <si>
    <t>3(12)</t>
  </si>
  <si>
    <t>1(13)</t>
  </si>
  <si>
    <t>PP</t>
  </si>
  <si>
    <t>1.5(17)</t>
  </si>
  <si>
    <t>75kK</t>
  </si>
  <si>
    <t>open</t>
  </si>
  <si>
    <t>H-front</t>
  </si>
  <si>
    <t>1(4)</t>
  </si>
  <si>
    <t>MAPPINGS</t>
  </si>
  <si>
    <t xml:space="preserve">T4 Meudon   Blister HII </t>
  </si>
  <si>
    <t>Ihbeta</t>
  </si>
  <si>
    <t>I(total)</t>
  </si>
  <si>
    <t>∆R</t>
  </si>
  <si>
    <t>E17</t>
  </si>
  <si>
    <t>1335+</t>
  </si>
  <si>
    <t>7330+</t>
  </si>
  <si>
    <t xml:space="preserve">T5 Meudon PN </t>
  </si>
  <si>
    <t>He Il</t>
  </si>
  <si>
    <t>C Ill]</t>
  </si>
  <si>
    <t>C IV</t>
  </si>
  <si>
    <t>N Ill]</t>
  </si>
  <si>
    <t>[NIlI]</t>
  </si>
  <si>
    <t>N IV]</t>
  </si>
  <si>
    <t>NV</t>
  </si>
  <si>
    <t>[0 I]</t>
  </si>
  <si>
    <t>[0 Il]</t>
  </si>
  <si>
    <t>[0 Ill]</t>
  </si>
  <si>
    <t>[0 IV]</t>
  </si>
  <si>
    <t>[Ne Ill]</t>
  </si>
  <si>
    <t>Ne IV]</t>
  </si>
  <si>
    <t>[Ne V]</t>
  </si>
  <si>
    <t>MgIl</t>
  </si>
  <si>
    <t>[Mg IV]</t>
  </si>
  <si>
    <t>[Si Il]</t>
  </si>
  <si>
    <t>Si Il]</t>
  </si>
  <si>
    <t>Si Ill]</t>
  </si>
  <si>
    <t>Si IV</t>
  </si>
  <si>
    <t>[S Il]</t>
  </si>
  <si>
    <t>[S Ill]</t>
  </si>
  <si>
    <t>[S IV]</t>
  </si>
  <si>
    <t>L(total)</t>
  </si>
  <si>
    <t>T(in)</t>
  </si>
  <si>
    <t>L(HB)</t>
  </si>
  <si>
    <t>C III]</t>
  </si>
  <si>
    <t>C II]</t>
  </si>
  <si>
    <t>[N II]</t>
  </si>
  <si>
    <t>O IV]</t>
  </si>
  <si>
    <t>O V]</t>
  </si>
  <si>
    <t>[Ne III]</t>
  </si>
  <si>
    <t>E35</t>
  </si>
  <si>
    <t>1549+</t>
  </si>
  <si>
    <t>1749+</t>
  </si>
  <si>
    <t>1487+</t>
  </si>
  <si>
    <t>1240+</t>
  </si>
  <si>
    <t>6300+</t>
  </si>
  <si>
    <t>1403+</t>
  </si>
  <si>
    <t>1218+</t>
  </si>
  <si>
    <t>2423+</t>
  </si>
  <si>
    <t>3426+</t>
  </si>
  <si>
    <t>2798+</t>
  </si>
  <si>
    <t>2335+</t>
  </si>
  <si>
    <t>1892+</t>
  </si>
  <si>
    <t>1397+</t>
  </si>
  <si>
    <t>E4</t>
  </si>
  <si>
    <t>52µ</t>
  </si>
  <si>
    <t>26µ</t>
  </si>
  <si>
    <t>24.2µ</t>
  </si>
  <si>
    <t>4.5µ</t>
  </si>
  <si>
    <t>34.8µ</t>
  </si>
  <si>
    <t>R(out)</t>
  </si>
  <si>
    <t>E34</t>
  </si>
  <si>
    <t>Hel</t>
  </si>
  <si>
    <t>CIV</t>
  </si>
  <si>
    <t>MgII</t>
  </si>
  <si>
    <t>He II</t>
  </si>
  <si>
    <t>[0 II]</t>
  </si>
  <si>
    <t>[Ne IV]</t>
  </si>
  <si>
    <t>T8  NLR</t>
  </si>
  <si>
    <t>Hell</t>
  </si>
  <si>
    <t>[NIl]</t>
  </si>
  <si>
    <t>NIII]</t>
  </si>
  <si>
    <t>NIV]</t>
  </si>
  <si>
    <t>OIV</t>
  </si>
  <si>
    <t>[Nelll]</t>
  </si>
  <si>
    <t>[NeV]</t>
  </si>
  <si>
    <t>[Sill]</t>
  </si>
  <si>
    <t>[SIll]</t>
  </si>
  <si>
    <t>I(HB)</t>
  </si>
  <si>
    <t>[0I]</t>
  </si>
  <si>
    <t>[0II]</t>
  </si>
  <si>
    <t>0III]</t>
  </si>
  <si>
    <t>[0III]</t>
  </si>
  <si>
    <t>1663+</t>
  </si>
  <si>
    <t>Lyalpha</t>
  </si>
  <si>
    <t>63µ</t>
  </si>
  <si>
    <t>E0</t>
  </si>
  <si>
    <t>1.0(10)</t>
  </si>
  <si>
    <t>fn~n^-1.3</t>
  </si>
  <si>
    <t>1.5(16)</t>
  </si>
  <si>
    <t xml:space="preserve"> </t>
  </si>
  <si>
    <t>Ferland</t>
  </si>
  <si>
    <t>Harrington</t>
  </si>
  <si>
    <t>Binnette</t>
  </si>
  <si>
    <t>Sutherland</t>
  </si>
  <si>
    <t>MII</t>
  </si>
  <si>
    <t>%</t>
  </si>
  <si>
    <t>Colour Key</t>
  </si>
  <si>
    <t>&lt;=20%</t>
  </si>
  <si>
    <t>&lt;=50%</t>
  </si>
  <si>
    <t>&gt;50%</t>
  </si>
  <si>
    <t>Difference %</t>
  </si>
  <si>
    <t>&lt;=10%</t>
  </si>
  <si>
    <t>(MII-mean) /mean</t>
  </si>
  <si>
    <t>T6 'High' Ionization PN</t>
  </si>
  <si>
    <t>T7 'Low' Ionization PN</t>
  </si>
  <si>
    <t>Lexington Mean</t>
  </si>
  <si>
    <t>Corrected table</t>
  </si>
  <si>
    <t>T3 40kK HII region</t>
  </si>
  <si>
    <t>T2 20kK Cool HII region</t>
  </si>
  <si>
    <t>1e22cm-2 / 1e18cm</t>
  </si>
  <si>
    <t>possible source</t>
  </si>
  <si>
    <t>luminosity error</t>
  </si>
  <si>
    <r>
      <t>(Cloudy-mean</t>
    </r>
    <r>
      <rPr>
        <b/>
        <sz val="12"/>
        <color indexed="206"/>
        <rFont val="Calibri"/>
        <family val="2"/>
      </rPr>
      <t>)</t>
    </r>
    <r>
      <rPr>
        <b/>
        <sz val="12"/>
        <color theme="1"/>
        <rFont val="Calibri"/>
        <family val="2"/>
        <scheme val="minor"/>
      </rPr>
      <t xml:space="preserve"> /mean</t>
    </r>
  </si>
  <si>
    <t>&lt;10%</t>
  </si>
  <si>
    <t>&lt;20%</t>
  </si>
  <si>
    <t>MVP6</t>
  </si>
  <si>
    <t>(MV-mean) /mean</t>
  </si>
  <si>
    <t>(MV-cloudy) /cloudy</t>
  </si>
  <si>
    <t>(MV-Pat) /Pat</t>
  </si>
  <si>
    <t>v5.1.20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</si>
</sst>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scheme val="minor"/>
    </font>
    <font>
      <b/>
      <sz val="12"/>
      <color rgb="FF000000"/>
      <name val="Calibri"/>
      <scheme val="minor"/>
    </font>
    <font>
      <b/>
      <sz val="12"/>
      <color rgb="FFF2F2F2"/>
      <name val="Calibri"/>
      <scheme val="minor"/>
    </font>
    <font>
      <sz val="12"/>
      <name val="Calibri"/>
      <scheme val="minor"/>
    </font>
    <font>
      <b/>
      <sz val="12"/>
      <color indexed="206"/>
      <name val="Calibri"/>
      <family val="2"/>
    </font>
    <font>
      <b/>
      <sz val="12"/>
      <color rgb="FFFF0000"/>
      <name val="Calibri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Up">
        <fgColor theme="0"/>
        <bgColor theme="3" tint="0.59999389629810485"/>
      </patternFill>
    </fill>
    <fill>
      <patternFill patternType="solid">
        <fgColor rgb="FF800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Border="1"/>
    <xf numFmtId="2" fontId="3" fillId="0" borderId="4" xfId="0" applyNumberFormat="1" applyFont="1" applyBorder="1"/>
    <xf numFmtId="0" fontId="3" fillId="0" borderId="2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9" xfId="0" applyBorder="1" applyAlignment="1">
      <alignment horizontal="right"/>
    </xf>
    <xf numFmtId="2" fontId="3" fillId="0" borderId="9" xfId="0" applyNumberFormat="1" applyFont="1" applyBorder="1"/>
    <xf numFmtId="2" fontId="0" fillId="0" borderId="9" xfId="0" applyNumberFormat="1" applyBorder="1"/>
    <xf numFmtId="2" fontId="0" fillId="3" borderId="9" xfId="0" applyNumberFormat="1" applyFill="1" applyBorder="1"/>
    <xf numFmtId="0" fontId="0" fillId="0" borderId="0" xfId="0" applyBorder="1" applyAlignment="1">
      <alignment horizontal="right"/>
    </xf>
    <xf numFmtId="2" fontId="0" fillId="0" borderId="0" xfId="0" applyNumberFormat="1" applyBorder="1"/>
    <xf numFmtId="0" fontId="0" fillId="0" borderId="10" xfId="0" applyBorder="1" applyAlignment="1">
      <alignment horizontal="right"/>
    </xf>
    <xf numFmtId="2" fontId="3" fillId="0" borderId="10" xfId="0" applyNumberFormat="1" applyFont="1" applyBorder="1"/>
    <xf numFmtId="2" fontId="0" fillId="0" borderId="10" xfId="0" applyNumberFormat="1" applyBorder="1"/>
    <xf numFmtId="2" fontId="0" fillId="4" borderId="0" xfId="0" applyNumberFormat="1" applyFill="1" applyBorder="1"/>
    <xf numFmtId="2" fontId="0" fillId="2" borderId="9" xfId="0" applyNumberFormat="1" applyFill="1" applyBorder="1"/>
    <xf numFmtId="0" fontId="0" fillId="0" borderId="9" xfId="0" applyBorder="1"/>
    <xf numFmtId="0" fontId="0" fillId="0" borderId="0" xfId="0" applyBorder="1"/>
    <xf numFmtId="2" fontId="0" fillId="2" borderId="0" xfId="0" applyNumberFormat="1" applyFill="1" applyBorder="1"/>
    <xf numFmtId="0" fontId="0" fillId="0" borderId="10" xfId="0" applyBorder="1"/>
    <xf numFmtId="0" fontId="3" fillId="0" borderId="11" xfId="0" applyFont="1" applyFill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2" xfId="0" applyFont="1" applyFill="1" applyBorder="1" applyAlignment="1">
      <alignment horizontal="right"/>
    </xf>
    <xf numFmtId="0" fontId="3" fillId="0" borderId="10" xfId="0" applyFont="1" applyBorder="1" applyAlignment="1">
      <alignment horizontal="right"/>
    </xf>
    <xf numFmtId="2" fontId="0" fillId="2" borderId="10" xfId="0" applyNumberFormat="1" applyFill="1" applyBorder="1"/>
    <xf numFmtId="2" fontId="0" fillId="3" borderId="10" xfId="0" applyNumberFormat="1" applyFill="1" applyBorder="1"/>
    <xf numFmtId="164" fontId="3" fillId="0" borderId="0" xfId="0" applyNumberFormat="1" applyFont="1" applyBorder="1" applyAlignment="1">
      <alignment horizontal="center"/>
    </xf>
    <xf numFmtId="2" fontId="0" fillId="2" borderId="4" xfId="0" applyNumberFormat="1" applyFill="1" applyBorder="1"/>
    <xf numFmtId="0" fontId="0" fillId="0" borderId="4" xfId="0" applyBorder="1"/>
    <xf numFmtId="2" fontId="7" fillId="4" borderId="0" xfId="0" applyNumberFormat="1" applyFont="1" applyFill="1" applyBorder="1"/>
    <xf numFmtId="164" fontId="0" fillId="0" borderId="0" xfId="0" applyNumberFormat="1" applyBorder="1"/>
    <xf numFmtId="0" fontId="0" fillId="0" borderId="4" xfId="0" applyBorder="1" applyAlignment="1">
      <alignment horizontal="right"/>
    </xf>
    <xf numFmtId="2" fontId="0" fillId="0" borderId="4" xfId="0" applyNumberFormat="1" applyBorder="1"/>
    <xf numFmtId="0" fontId="0" fillId="0" borderId="8" xfId="0" applyBorder="1" applyAlignment="1">
      <alignment horizontal="right"/>
    </xf>
    <xf numFmtId="2" fontId="3" fillId="0" borderId="8" xfId="0" applyNumberFormat="1" applyFont="1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8" xfId="0" applyBorder="1"/>
    <xf numFmtId="0" fontId="0" fillId="0" borderId="13" xfId="0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0" fillId="0" borderId="9" xfId="0" applyBorder="1" applyAlignment="1">
      <alignment horizontal="center"/>
    </xf>
    <xf numFmtId="164" fontId="3" fillId="0" borderId="4" xfId="0" applyNumberFormat="1" applyFont="1" applyBorder="1"/>
    <xf numFmtId="164" fontId="0" fillId="0" borderId="4" xfId="0" applyNumberFormat="1" applyBorder="1"/>
    <xf numFmtId="0" fontId="3" fillId="0" borderId="9" xfId="0" applyFont="1" applyBorder="1"/>
    <xf numFmtId="0" fontId="3" fillId="0" borderId="0" xfId="0" applyFont="1" applyBorder="1"/>
    <xf numFmtId="0" fontId="3" fillId="0" borderId="10" xfId="0" applyFont="1" applyBorder="1"/>
    <xf numFmtId="164" fontId="4" fillId="0" borderId="0" xfId="57" applyNumberFormat="1" applyFont="1" applyAlignment="1">
      <alignment horizontal="center"/>
    </xf>
    <xf numFmtId="164" fontId="3" fillId="0" borderId="13" xfId="0" applyNumberFormat="1" applyFont="1" applyBorder="1" applyAlignment="1">
      <alignment horizontal="center" wrapText="1"/>
    </xf>
    <xf numFmtId="2" fontId="0" fillId="0" borderId="10" xfId="0" applyNumberFormat="1" applyFill="1" applyBorder="1"/>
    <xf numFmtId="2" fontId="0" fillId="3" borderId="8" xfId="0" applyNumberFormat="1" applyFill="1" applyBorder="1"/>
    <xf numFmtId="2" fontId="0" fillId="0" borderId="9" xfId="0" applyNumberFormat="1" applyFill="1" applyBorder="1"/>
    <xf numFmtId="2" fontId="0" fillId="5" borderId="0" xfId="0" applyNumberFormat="1" applyFill="1" applyBorder="1"/>
    <xf numFmtId="2" fontId="0" fillId="5" borderId="8" xfId="0" applyNumberFormat="1" applyFill="1" applyBorder="1"/>
    <xf numFmtId="2" fontId="0" fillId="2" borderId="1" xfId="0" applyNumberFormat="1" applyFill="1" applyBorder="1"/>
    <xf numFmtId="2" fontId="0" fillId="4" borderId="9" xfId="0" applyNumberFormat="1" applyFill="1" applyBorder="1"/>
    <xf numFmtId="11" fontId="0" fillId="0" borderId="0" xfId="0" applyNumberFormat="1" applyBorder="1" applyAlignment="1">
      <alignment horizontal="right"/>
    </xf>
    <xf numFmtId="1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" fontId="3" fillId="0" borderId="0" xfId="0" applyNumberFormat="1" applyFont="1" applyBorder="1"/>
    <xf numFmtId="1" fontId="0" fillId="0" borderId="0" xfId="0" applyNumberFormat="1" applyBorder="1"/>
    <xf numFmtId="165" fontId="0" fillId="2" borderId="0" xfId="0" applyNumberFormat="1" applyFill="1" applyBorder="1"/>
    <xf numFmtId="165" fontId="0" fillId="2" borderId="10" xfId="0" applyNumberFormat="1" applyFill="1" applyBorder="1"/>
    <xf numFmtId="165" fontId="0" fillId="3" borderId="9" xfId="0" applyNumberFormat="1" applyFill="1" applyBorder="1"/>
    <xf numFmtId="165" fontId="0" fillId="3" borderId="0" xfId="0" applyNumberFormat="1" applyFill="1" applyBorder="1"/>
    <xf numFmtId="165" fontId="0" fillId="4" borderId="10" xfId="0" applyNumberFormat="1" applyFill="1" applyBorder="1"/>
    <xf numFmtId="165" fontId="0" fillId="2" borderId="9" xfId="0" applyNumberFormat="1" applyFill="1" applyBorder="1"/>
    <xf numFmtId="165" fontId="0" fillId="4" borderId="0" xfId="0" applyNumberFormat="1" applyFill="1" applyBorder="1"/>
    <xf numFmtId="165" fontId="0" fillId="3" borderId="10" xfId="0" applyNumberFormat="1" applyFill="1" applyBorder="1"/>
    <xf numFmtId="165" fontId="0" fillId="0" borderId="10" xfId="0" applyNumberFormat="1" applyBorder="1"/>
    <xf numFmtId="165" fontId="0" fillId="0" borderId="9" xfId="0" applyNumberFormat="1" applyBorder="1"/>
    <xf numFmtId="165" fontId="0" fillId="5" borderId="0" xfId="0" applyNumberFormat="1" applyFill="1" applyBorder="1"/>
    <xf numFmtId="165" fontId="0" fillId="5" borderId="10" xfId="0" applyNumberFormat="1" applyFill="1" applyBorder="1"/>
    <xf numFmtId="165" fontId="0" fillId="0" borderId="0" xfId="0" applyNumberFormat="1" applyBorder="1"/>
    <xf numFmtId="165" fontId="0" fillId="2" borderId="4" xfId="0" applyNumberFormat="1" applyFill="1" applyBorder="1"/>
    <xf numFmtId="2" fontId="3" fillId="0" borderId="0" xfId="0" applyNumberFormat="1" applyFon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3" fillId="0" borderId="10" xfId="0" applyNumberFormat="1" applyFon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2" fontId="0" fillId="0" borderId="8" xfId="0" applyNumberFormat="1" applyBorder="1" applyAlignment="1">
      <alignment horizontal="right"/>
    </xf>
    <xf numFmtId="165" fontId="0" fillId="3" borderId="0" xfId="0" applyNumberForma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165" fontId="0" fillId="2" borderId="0" xfId="0" applyNumberFormat="1" applyFill="1" applyBorder="1" applyAlignment="1">
      <alignment horizontal="left"/>
    </xf>
    <xf numFmtId="165" fontId="0" fillId="0" borderId="0" xfId="0" applyNumberFormat="1" applyBorder="1" applyAlignment="1">
      <alignment horizontal="left"/>
    </xf>
    <xf numFmtId="2" fontId="9" fillId="0" borderId="0" xfId="0" applyNumberFormat="1" applyFont="1" applyBorder="1"/>
    <xf numFmtId="2" fontId="9" fillId="0" borderId="4" xfId="0" applyNumberFormat="1" applyFont="1" applyBorder="1"/>
    <xf numFmtId="164" fontId="3" fillId="4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left"/>
    </xf>
    <xf numFmtId="2" fontId="10" fillId="2" borderId="0" xfId="0" applyNumberFormat="1" applyFont="1" applyFill="1" applyBorder="1"/>
    <xf numFmtId="2" fontId="9" fillId="2" borderId="4" xfId="0" applyNumberFormat="1" applyFont="1" applyFill="1" applyBorder="1"/>
    <xf numFmtId="165" fontId="0" fillId="0" borderId="0" xfId="0" applyNumberFormat="1" applyFill="1" applyAlignment="1">
      <alignment horizontal="left"/>
    </xf>
    <xf numFmtId="165" fontId="3" fillId="0" borderId="16" xfId="0" applyNumberFormat="1" applyFont="1" applyFill="1" applyBorder="1" applyAlignment="1">
      <alignment horizontal="center" wrapText="1"/>
    </xf>
    <xf numFmtId="165" fontId="3" fillId="0" borderId="18" xfId="0" applyNumberFormat="1" applyFont="1" applyFill="1" applyBorder="1" applyAlignment="1">
      <alignment horizontal="center" wrapText="1"/>
    </xf>
    <xf numFmtId="165" fontId="3" fillId="2" borderId="16" xfId="0" applyNumberFormat="1" applyFont="1" applyFill="1" applyBorder="1" applyAlignment="1">
      <alignment horizontal="center" wrapText="1"/>
    </xf>
    <xf numFmtId="165" fontId="3" fillId="6" borderId="16" xfId="0" applyNumberFormat="1" applyFont="1" applyFill="1" applyBorder="1" applyAlignment="1">
      <alignment horizontal="center" wrapText="1"/>
    </xf>
    <xf numFmtId="165" fontId="3" fillId="4" borderId="18" xfId="0" applyNumberFormat="1" applyFont="1" applyFill="1" applyBorder="1" applyAlignment="1">
      <alignment horizontal="center" wrapText="1"/>
    </xf>
    <xf numFmtId="164" fontId="3" fillId="0" borderId="2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5" fontId="3" fillId="0" borderId="16" xfId="0" applyNumberFormat="1" applyFont="1" applyFill="1" applyBorder="1" applyAlignment="1">
      <alignment horizontal="center"/>
    </xf>
    <xf numFmtId="165" fontId="3" fillId="0" borderId="19" xfId="0" applyNumberFormat="1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center"/>
    </xf>
    <xf numFmtId="165" fontId="3" fillId="0" borderId="3" xfId="0" applyNumberFormat="1" applyFont="1" applyFill="1" applyBorder="1" applyAlignment="1">
      <alignment horizontal="center"/>
    </xf>
    <xf numFmtId="1" fontId="11" fillId="4" borderId="2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0" fillId="0" borderId="0" xfId="0" applyFill="1"/>
    <xf numFmtId="1" fontId="11" fillId="6" borderId="2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14" xfId="0" applyFont="1" applyFill="1" applyBorder="1" applyAlignment="1">
      <alignment horizontal="center" wrapText="1"/>
    </xf>
    <xf numFmtId="165" fontId="3" fillId="0" borderId="24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165" fontId="3" fillId="0" borderId="23" xfId="0" applyNumberFormat="1" applyFont="1" applyFill="1" applyBorder="1" applyAlignment="1">
      <alignment horizontal="center"/>
    </xf>
    <xf numFmtId="165" fontId="3" fillId="0" borderId="25" xfId="0" applyNumberFormat="1" applyFont="1" applyFill="1" applyBorder="1" applyAlignment="1">
      <alignment horizontal="center"/>
    </xf>
    <xf numFmtId="165" fontId="3" fillId="0" borderId="26" xfId="0" applyNumberFormat="1" applyFont="1" applyFill="1" applyBorder="1" applyAlignment="1">
      <alignment horizontal="center"/>
    </xf>
    <xf numFmtId="165" fontId="3" fillId="0" borderId="27" xfId="0" applyNumberFormat="1" applyFont="1" applyFill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5" fontId="3" fillId="0" borderId="28" xfId="0" applyNumberFormat="1" applyFont="1" applyFill="1" applyBorder="1" applyAlignment="1">
      <alignment horizontal="center"/>
    </xf>
    <xf numFmtId="165" fontId="3" fillId="0" borderId="14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1" fontId="11" fillId="2" borderId="19" xfId="0" applyNumberFormat="1" applyFont="1" applyFill="1" applyBorder="1" applyAlignment="1">
      <alignment horizontal="center"/>
    </xf>
    <xf numFmtId="1" fontId="11" fillId="2" borderId="14" xfId="0" applyNumberFormat="1" applyFont="1" applyFill="1" applyBorder="1" applyAlignment="1">
      <alignment horizontal="center"/>
    </xf>
    <xf numFmtId="1" fontId="11" fillId="6" borderId="17" xfId="0" applyNumberFormat="1" applyFont="1" applyFill="1" applyBorder="1" applyAlignment="1">
      <alignment horizontal="center"/>
    </xf>
    <xf numFmtId="1" fontId="11" fillId="4" borderId="29" xfId="0" applyNumberFormat="1" applyFont="1" applyFill="1" applyBorder="1" applyAlignment="1">
      <alignment horizontal="center"/>
    </xf>
    <xf numFmtId="165" fontId="3" fillId="0" borderId="25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wrapText="1"/>
    </xf>
    <xf numFmtId="165" fontId="3" fillId="0" borderId="23" xfId="0" applyNumberFormat="1" applyFont="1" applyFill="1" applyBorder="1" applyAlignment="1">
      <alignment horizontal="center" wrapText="1"/>
    </xf>
    <xf numFmtId="165" fontId="3" fillId="0" borderId="26" xfId="0" applyNumberFormat="1" applyFont="1" applyFill="1" applyBorder="1" applyAlignment="1">
      <alignment horizontal="center" wrapText="1"/>
    </xf>
    <xf numFmtId="165" fontId="3" fillId="2" borderId="14" xfId="0" applyNumberFormat="1" applyFont="1" applyFill="1" applyBorder="1" applyAlignment="1">
      <alignment horizontal="center" wrapText="1"/>
    </xf>
    <xf numFmtId="164" fontId="5" fillId="0" borderId="30" xfId="0" applyNumberFormat="1" applyFont="1" applyBorder="1" applyAlignment="1">
      <alignment horizontal="center"/>
    </xf>
    <xf numFmtId="165" fontId="3" fillId="0" borderId="19" xfId="0" applyNumberFormat="1" applyFont="1" applyFill="1" applyBorder="1" applyAlignment="1">
      <alignment horizontal="center" wrapText="1"/>
    </xf>
    <xf numFmtId="165" fontId="3" fillId="0" borderId="3" xfId="0" applyNumberFormat="1" applyFont="1" applyFill="1" applyBorder="1" applyAlignment="1">
      <alignment horizontal="center" wrapText="1"/>
    </xf>
    <xf numFmtId="165" fontId="3" fillId="0" borderId="2" xfId="0" applyNumberFormat="1" applyFont="1" applyFill="1" applyBorder="1" applyAlignment="1">
      <alignment horizontal="center" wrapText="1"/>
    </xf>
    <xf numFmtId="2" fontId="9" fillId="2" borderId="0" xfId="0" applyNumberFormat="1" applyFont="1" applyFill="1" applyBorder="1"/>
    <xf numFmtId="165" fontId="3" fillId="0" borderId="31" xfId="0" applyNumberFormat="1" applyFont="1" applyFill="1" applyBorder="1" applyAlignment="1">
      <alignment horizontal="center"/>
    </xf>
    <xf numFmtId="165" fontId="3" fillId="0" borderId="15" xfId="0" applyNumberFormat="1" applyFont="1" applyFill="1" applyBorder="1" applyAlignment="1">
      <alignment horizontal="center"/>
    </xf>
    <xf numFmtId="166" fontId="0" fillId="0" borderId="0" xfId="0" applyNumberFormat="1"/>
    <xf numFmtId="2" fontId="0" fillId="0" borderId="0" xfId="0" applyNumberFormat="1" applyFill="1" applyBorder="1"/>
    <xf numFmtId="2" fontId="0" fillId="0" borderId="0" xfId="0" applyNumberFormat="1"/>
    <xf numFmtId="0" fontId="5" fillId="2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165" fontId="3" fillId="7" borderId="24" xfId="0" applyNumberFormat="1" applyFont="1" applyFill="1" applyBorder="1" applyAlignment="1">
      <alignment horizontal="center"/>
    </xf>
    <xf numFmtId="165" fontId="3" fillId="7" borderId="0" xfId="0" applyNumberFormat="1" applyFont="1" applyFill="1" applyBorder="1" applyAlignment="1">
      <alignment horizontal="center"/>
    </xf>
    <xf numFmtId="165" fontId="3" fillId="7" borderId="25" xfId="0" applyNumberFormat="1" applyFont="1" applyFill="1" applyBorder="1" applyAlignment="1">
      <alignment horizontal="center"/>
    </xf>
  </cellXfs>
  <cellStyles count="2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72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/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B3:H19" totalsRowShown="0" headerRowDxfId="61" dataDxfId="59" headerRowBorderDxfId="60">
  <autoFilter ref="B3:H19"/>
  <tableColumns count="7">
    <tableColumn id="1" name="T2" dataDxfId="58"/>
    <tableColumn id="2" name="T3" dataDxfId="57"/>
    <tableColumn id="3" name="T4" dataDxfId="56"/>
    <tableColumn id="4" name="T5" dataDxfId="55"/>
    <tableColumn id="5" name="T6" dataDxfId="54"/>
    <tableColumn id="6" name="T7" dataDxfId="53"/>
    <tableColumn id="7" name="T8" dataDxfId="5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24:G38" totalsRowShown="0" headerRowDxfId="51" headerRowBorderDxfId="50">
  <autoFilter ref="B24:G38"/>
  <tableColumns count="6">
    <tableColumn id="1" name=" " dataDxfId="49"/>
    <tableColumn id="2" name="Lexington Mean" dataDxfId="48"/>
    <tableColumn id="3" name="Cloudy" dataDxfId="47"/>
    <tableColumn id="4" name="Pat" dataDxfId="46"/>
    <tableColumn id="5" name="MAPPINGS" dataDxfId="45"/>
    <tableColumn id="6" name="MII" dataDxfId="4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46:G71" totalsRowShown="0" headerRowDxfId="43" headerRowBorderDxfId="42">
  <autoFilter ref="B46:G71"/>
  <tableColumns count="6">
    <tableColumn id="1" name=" " dataDxfId="41"/>
    <tableColumn id="2" name="Lexington Mean" dataDxfId="40"/>
    <tableColumn id="3" name="Cloudy" dataDxfId="39"/>
    <tableColumn id="4" name="Pat" dataDxfId="38"/>
    <tableColumn id="5" name="MAPPINGS" dataDxfId="37"/>
    <tableColumn id="6" name="MII" dataDxfId="3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B79:G102" totalsRowShown="0" headerRowDxfId="35" headerRowBorderDxfId="34">
  <autoFilter ref="B79:G102"/>
  <tableColumns count="6">
    <tableColumn id="1" name=" " dataDxfId="33"/>
    <tableColumn id="2" name="Lexington Mean" dataDxfId="32"/>
    <tableColumn id="3" name="Cloudy" dataDxfId="31"/>
    <tableColumn id="4" name="Pat" dataDxfId="30"/>
    <tableColumn id="5" name="MAPPINGS" dataDxfId="29"/>
    <tableColumn id="6" name="MII" dataDxfId="2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B109:G149" totalsRowShown="0" headerRowDxfId="27" headerRowBorderDxfId="26">
  <autoFilter ref="B109:G149"/>
  <tableColumns count="6">
    <tableColumn id="1" name=" " dataDxfId="25"/>
    <tableColumn id="2" name="Lexington Mean" dataDxfId="24"/>
    <tableColumn id="3" name="Cloudy" dataDxfId="23"/>
    <tableColumn id="4" name="Pat" dataDxfId="22"/>
    <tableColumn id="5" name="MAPPINGS" dataDxfId="21"/>
    <tableColumn id="6" name="MII" dataDxfId="20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B156:G179" totalsRowShown="0" headerRowDxfId="19" headerRowBorderDxfId="18">
  <autoFilter ref="B156:G179"/>
  <tableColumns count="6">
    <tableColumn id="1" name=" " dataDxfId="17"/>
    <tableColumn id="2" name="Lexington Mean" dataDxfId="16"/>
    <tableColumn id="3" name="Cloudy" dataDxfId="15"/>
    <tableColumn id="4" name="Pat" dataDxfId="14"/>
    <tableColumn id="5" name="MAPPINGS" dataDxfId="13"/>
    <tableColumn id="6" name="MII" dataDxfId="12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B186:G204" totalsRowShown="0" headerRowDxfId="11" headerRowBorderDxfId="10">
  <autoFilter ref="B186:G204"/>
  <tableColumns count="6">
    <tableColumn id="1" name=" " dataDxfId="9"/>
    <tableColumn id="2" name="Lexington Mean" dataDxfId="8"/>
    <tableColumn id="3" name="Cloudy"/>
    <tableColumn id="4" name="Pat" dataDxfId="7"/>
    <tableColumn id="5" name="MAPPINGS"/>
    <tableColumn id="6" name="MII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B211:F242" totalsRowShown="0" headerRowDxfId="6" headerRowBorderDxfId="5">
  <autoFilter ref="B211:F242"/>
  <tableColumns count="5">
    <tableColumn id="1" name=" " dataDxfId="4"/>
    <tableColumn id="7" name="Lexington Mean" dataDxfId="3"/>
    <tableColumn id="8" name="Cloudy" dataDxfId="2"/>
    <tableColumn id="9" name="(Cloudy-mean) /mean" dataDxfId="1">
      <calculatedColumnFormula>100*(D212-C212)/C212</calculatedColumnFormula>
    </tableColumn>
    <tableColumn id="10" name="MAPPING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248"/>
  <sheetViews>
    <sheetView tabSelected="1" showRuler="0" workbookViewId="0">
      <selection activeCell="K20" sqref="K20"/>
    </sheetView>
  </sheetViews>
  <sheetFormatPr baseColWidth="10" defaultRowHeight="16" x14ac:dyDescent="0"/>
  <cols>
    <col min="1" max="1" width="21" style="1" customWidth="1"/>
    <col min="2" max="2" width="11.375" style="1" customWidth="1"/>
    <col min="3" max="3" width="12.625" customWidth="1"/>
    <col min="5" max="5" width="10.875" customWidth="1"/>
    <col min="6" max="6" width="12.625" customWidth="1"/>
    <col min="7" max="7" width="14.125" customWidth="1"/>
    <col min="8" max="8" width="11.5" customWidth="1"/>
    <col min="9" max="9" width="2.375" customWidth="1"/>
    <col min="10" max="10" width="9" style="15" customWidth="1"/>
    <col min="11" max="12" width="11.625" style="135" customWidth="1"/>
    <col min="13" max="13" width="8.875" style="116" customWidth="1"/>
    <col min="14" max="14" width="11.625" customWidth="1"/>
  </cols>
  <sheetData>
    <row r="1" spans="1:12">
      <c r="A1" s="2" t="s">
        <v>0</v>
      </c>
    </row>
    <row r="2" spans="1:12">
      <c r="G2" t="s">
        <v>197</v>
      </c>
    </row>
    <row r="3" spans="1:12">
      <c r="A3" s="20" t="s">
        <v>62</v>
      </c>
      <c r="B3" s="59" t="s">
        <v>60</v>
      </c>
      <c r="C3" s="59" t="s">
        <v>61</v>
      </c>
      <c r="D3" s="59" t="s">
        <v>72</v>
      </c>
      <c r="E3" s="59" t="s">
        <v>73</v>
      </c>
      <c r="F3" s="59" t="s">
        <v>77</v>
      </c>
      <c r="G3" s="59" t="s">
        <v>78</v>
      </c>
      <c r="H3" s="59" t="s">
        <v>79</v>
      </c>
    </row>
    <row r="4" spans="1:12">
      <c r="A4" s="20" t="s">
        <v>45</v>
      </c>
      <c r="B4" s="20" t="s">
        <v>71</v>
      </c>
      <c r="C4" s="59" t="s">
        <v>66</v>
      </c>
      <c r="D4" s="59" t="s">
        <v>82</v>
      </c>
      <c r="E4" s="59" t="s">
        <v>74</v>
      </c>
      <c r="F4" s="59" t="s">
        <v>80</v>
      </c>
      <c r="G4" s="59" t="s">
        <v>80</v>
      </c>
      <c r="H4" s="59" t="s">
        <v>81</v>
      </c>
    </row>
    <row r="5" spans="1:12">
      <c r="A5" s="24" t="s">
        <v>68</v>
      </c>
      <c r="B5" s="24" t="s">
        <v>70</v>
      </c>
      <c r="C5" s="76" t="s">
        <v>69</v>
      </c>
      <c r="D5" s="76"/>
      <c r="E5" s="76" t="s">
        <v>177</v>
      </c>
      <c r="F5" s="75">
        <v>29072300000</v>
      </c>
      <c r="G5" s="75">
        <v>29072300000</v>
      </c>
      <c r="H5" s="76"/>
    </row>
    <row r="6" spans="1:12">
      <c r="A6" s="24" t="s">
        <v>46</v>
      </c>
      <c r="B6" s="24" t="s">
        <v>63</v>
      </c>
      <c r="C6" s="76" t="s">
        <v>63</v>
      </c>
      <c r="D6" s="76" t="s">
        <v>83</v>
      </c>
      <c r="E6" s="76" t="s">
        <v>75</v>
      </c>
      <c r="F6" s="76" t="s">
        <v>84</v>
      </c>
      <c r="G6" s="76" t="s">
        <v>179</v>
      </c>
      <c r="H6" s="76" t="s">
        <v>83</v>
      </c>
    </row>
    <row r="7" spans="1:12">
      <c r="A7" s="26" t="s">
        <v>47</v>
      </c>
      <c r="B7" s="26" t="s">
        <v>64</v>
      </c>
      <c r="C7" s="80" t="s">
        <v>67</v>
      </c>
      <c r="D7" s="80" t="s">
        <v>67</v>
      </c>
      <c r="E7" s="80" t="s">
        <v>76</v>
      </c>
      <c r="F7" s="80" t="s">
        <v>85</v>
      </c>
      <c r="G7" s="80" t="s">
        <v>85</v>
      </c>
      <c r="H7" s="80" t="s">
        <v>178</v>
      </c>
    </row>
    <row r="8" spans="1:12">
      <c r="A8" s="1" t="s">
        <v>48</v>
      </c>
      <c r="B8" s="1" t="s">
        <v>65</v>
      </c>
      <c r="C8" s="3" t="s">
        <v>65</v>
      </c>
      <c r="D8" s="3" t="s">
        <v>65</v>
      </c>
      <c r="E8" s="3" t="s">
        <v>65</v>
      </c>
      <c r="F8" s="3" t="s">
        <v>65</v>
      </c>
      <c r="G8" s="3" t="s">
        <v>65</v>
      </c>
      <c r="H8" s="3" t="s">
        <v>86</v>
      </c>
    </row>
    <row r="9" spans="1:12" ht="32">
      <c r="A9" s="1" t="s">
        <v>49</v>
      </c>
      <c r="B9" s="1" t="s">
        <v>87</v>
      </c>
      <c r="C9" s="3" t="s">
        <v>87</v>
      </c>
      <c r="D9" s="3" t="s">
        <v>87</v>
      </c>
      <c r="E9" s="3" t="s">
        <v>87</v>
      </c>
      <c r="F9" s="4">
        <v>7.5E+17</v>
      </c>
      <c r="G9" s="4">
        <v>7.5E+16</v>
      </c>
      <c r="H9" s="18" t="s">
        <v>200</v>
      </c>
    </row>
    <row r="10" spans="1:12">
      <c r="A10" s="48" t="s">
        <v>50</v>
      </c>
      <c r="B10" s="48">
        <v>100</v>
      </c>
      <c r="C10" s="79">
        <v>100</v>
      </c>
      <c r="D10" s="79" t="s">
        <v>88</v>
      </c>
      <c r="E10" s="79">
        <v>3000</v>
      </c>
      <c r="F10" s="79">
        <v>500</v>
      </c>
      <c r="G10" s="79">
        <v>15810</v>
      </c>
      <c r="H10" s="79" t="s">
        <v>88</v>
      </c>
    </row>
    <row r="11" spans="1:12">
      <c r="A11" s="20" t="s">
        <v>51</v>
      </c>
      <c r="B11" s="20">
        <v>0.1</v>
      </c>
      <c r="C11" s="59">
        <v>0.1</v>
      </c>
      <c r="D11" s="59">
        <v>9.5000000000000001E-2</v>
      </c>
      <c r="E11" s="59">
        <v>0.1</v>
      </c>
      <c r="F11" s="59">
        <v>0.1</v>
      </c>
      <c r="G11" s="59">
        <v>0.1</v>
      </c>
      <c r="H11" s="59">
        <v>0.1</v>
      </c>
      <c r="J11" s="65"/>
    </row>
    <row r="12" spans="1:12">
      <c r="A12" s="24" t="s">
        <v>52</v>
      </c>
      <c r="B12" s="74">
        <v>2.2000000000000001E-4</v>
      </c>
      <c r="C12" s="75">
        <v>2.2000000000000001E-4</v>
      </c>
      <c r="D12" s="75">
        <v>2.9999999999999997E-4</v>
      </c>
      <c r="E12" s="75">
        <v>2.9999999999999997E-4</v>
      </c>
      <c r="F12" s="75">
        <v>2.0000000000000001E-4</v>
      </c>
      <c r="G12" s="75">
        <v>2.0000000000000001E-4</v>
      </c>
      <c r="H12" s="75">
        <v>2.9999999999999997E-4</v>
      </c>
    </row>
    <row r="13" spans="1:12" ht="20" customHeight="1">
      <c r="A13" s="24" t="s">
        <v>53</v>
      </c>
      <c r="B13" s="74">
        <v>4.0000000000000003E-5</v>
      </c>
      <c r="C13" s="75">
        <v>4.0000000000000003E-5</v>
      </c>
      <c r="D13" s="75">
        <v>6.9999999999999994E-5</v>
      </c>
      <c r="E13" s="75">
        <v>1E-4</v>
      </c>
      <c r="F13" s="75">
        <v>6.0000000000000002E-5</v>
      </c>
      <c r="G13" s="75">
        <v>6.0000000000000002E-5</v>
      </c>
      <c r="H13" s="75">
        <v>1E-4</v>
      </c>
      <c r="K13" s="136" t="s">
        <v>191</v>
      </c>
      <c r="L13"/>
    </row>
    <row r="14" spans="1:12">
      <c r="A14" s="24" t="s">
        <v>54</v>
      </c>
      <c r="B14" s="74">
        <v>3.3E-4</v>
      </c>
      <c r="C14" s="75">
        <v>3.3E-4</v>
      </c>
      <c r="D14" s="75">
        <v>4.0000000000000002E-4</v>
      </c>
      <c r="E14" s="75">
        <v>5.9999999999999995E-4</v>
      </c>
      <c r="F14" s="75">
        <v>2.9999999999999997E-4</v>
      </c>
      <c r="G14" s="75">
        <v>2.9999999999999997E-4</v>
      </c>
      <c r="H14" s="75">
        <v>8.0000000000000004E-4</v>
      </c>
      <c r="K14" s="137" t="s">
        <v>187</v>
      </c>
      <c r="L14"/>
    </row>
    <row r="15" spans="1:12">
      <c r="A15" s="24" t="s">
        <v>55</v>
      </c>
      <c r="B15" s="74">
        <v>5.0000000000000002E-5</v>
      </c>
      <c r="C15" s="75">
        <v>5.0000000000000002E-5</v>
      </c>
      <c r="D15" s="75">
        <v>1.1E-4</v>
      </c>
      <c r="E15" s="75">
        <v>1.4999999999999999E-4</v>
      </c>
      <c r="F15" s="75">
        <v>6.0000000000000002E-5</v>
      </c>
      <c r="G15" s="75">
        <v>6.0000000000000002E-5</v>
      </c>
      <c r="H15" s="75">
        <v>1E-4</v>
      </c>
      <c r="K15" s="182" t="s">
        <v>192</v>
      </c>
      <c r="L15"/>
    </row>
    <row r="16" spans="1:12">
      <c r="A16" s="24" t="s">
        <v>56</v>
      </c>
      <c r="B16" s="24"/>
      <c r="C16" s="76"/>
      <c r="D16" s="32"/>
      <c r="E16" s="75">
        <v>3.0000000000000001E-5</v>
      </c>
      <c r="F16" s="75">
        <v>1.0000000000000001E-5</v>
      </c>
      <c r="G16" s="75">
        <v>1.0000000000000001E-5</v>
      </c>
      <c r="H16" s="75">
        <v>3.0000000000000001E-5</v>
      </c>
      <c r="K16" s="138" t="s">
        <v>188</v>
      </c>
      <c r="L16"/>
    </row>
    <row r="17" spans="1:14">
      <c r="A17" s="24" t="s">
        <v>57</v>
      </c>
      <c r="B17" s="24"/>
      <c r="C17" s="76"/>
      <c r="D17" s="76"/>
      <c r="E17" s="75">
        <v>3.0000000000000001E-5</v>
      </c>
      <c r="F17" s="75">
        <v>1.0000000000000001E-5</v>
      </c>
      <c r="G17" s="75">
        <v>1.0000000000000001E-5</v>
      </c>
      <c r="H17" s="75">
        <v>3.0000000000000001E-5</v>
      </c>
      <c r="K17" s="183" t="s">
        <v>189</v>
      </c>
      <c r="L17"/>
    </row>
    <row r="18" spans="1:14">
      <c r="A18" s="24" t="s">
        <v>58</v>
      </c>
      <c r="B18" s="74">
        <v>9.0000000000000002E-6</v>
      </c>
      <c r="C18" s="75">
        <v>9.0000000000000002E-6</v>
      </c>
      <c r="D18" s="75">
        <v>1.0000000000000001E-5</v>
      </c>
      <c r="E18" s="75">
        <v>1.5E-5</v>
      </c>
      <c r="F18" s="75">
        <v>1.0000000000000001E-5</v>
      </c>
      <c r="G18" s="75">
        <v>1.0000000000000001E-5</v>
      </c>
      <c r="H18" s="75">
        <v>1.5E-5</v>
      </c>
      <c r="K18" s="184" t="s">
        <v>190</v>
      </c>
      <c r="L18"/>
    </row>
    <row r="19" spans="1:14" ht="17" thickBot="1">
      <c r="A19" s="46" t="s">
        <v>59</v>
      </c>
      <c r="B19" s="46"/>
      <c r="C19" s="77"/>
      <c r="D19" s="78">
        <v>3.0000000000000001E-6</v>
      </c>
      <c r="E19" s="77"/>
      <c r="F19" s="77"/>
      <c r="G19" s="77"/>
      <c r="H19" s="77"/>
      <c r="K19" s="139"/>
      <c r="L19"/>
    </row>
    <row r="20" spans="1:14">
      <c r="L20"/>
    </row>
    <row r="22" spans="1:14">
      <c r="G22" s="7" t="s">
        <v>201</v>
      </c>
      <c r="J22" s="15" t="s">
        <v>210</v>
      </c>
    </row>
    <row r="23" spans="1:14" ht="17" thickBot="1">
      <c r="G23" s="7" t="s">
        <v>202</v>
      </c>
      <c r="H23" s="19" t="s">
        <v>186</v>
      </c>
      <c r="K23" s="135" t="s">
        <v>186</v>
      </c>
      <c r="L23" s="135" t="s">
        <v>186</v>
      </c>
    </row>
    <row r="24" spans="1:14" ht="33" thickBot="1">
      <c r="A24" s="53" t="s">
        <v>199</v>
      </c>
      <c r="B24" s="53" t="s">
        <v>180</v>
      </c>
      <c r="C24" s="57" t="s">
        <v>196</v>
      </c>
      <c r="D24" s="55" t="s">
        <v>22</v>
      </c>
      <c r="E24" s="54" t="s">
        <v>23</v>
      </c>
      <c r="F24" s="55" t="s">
        <v>89</v>
      </c>
      <c r="G24" s="55" t="s">
        <v>185</v>
      </c>
      <c r="H24" s="56" t="s">
        <v>193</v>
      </c>
      <c r="J24" s="156" t="s">
        <v>206</v>
      </c>
      <c r="K24" s="148" t="s">
        <v>207</v>
      </c>
      <c r="L24" s="148" t="s">
        <v>208</v>
      </c>
      <c r="M24" s="148" t="s">
        <v>209</v>
      </c>
    </row>
    <row r="25" spans="1:14" ht="17" thickBot="1">
      <c r="A25" s="26" t="s">
        <v>1</v>
      </c>
      <c r="B25" s="26" t="s">
        <v>12</v>
      </c>
      <c r="C25" s="27">
        <v>4.93</v>
      </c>
      <c r="D25" s="28">
        <v>4.9800000000000004</v>
      </c>
      <c r="E25" s="27">
        <v>4.93</v>
      </c>
      <c r="F25" s="28">
        <v>4.83</v>
      </c>
      <c r="G25" s="28">
        <v>5.01</v>
      </c>
      <c r="H25" s="39">
        <f t="shared" ref="H25:H30" si="0">100*(G25-C25)/C25</f>
        <v>1.6227180527383382</v>
      </c>
      <c r="J25" s="172">
        <v>4.8339999999999996</v>
      </c>
      <c r="K25" s="131">
        <f t="shared" ref="K25:K30" si="1">100*($J25-C25)/C25</f>
        <v>-1.9472616632860058</v>
      </c>
      <c r="L25" s="150">
        <f t="shared" ref="L25:M38" si="2">100*($J25-D25)/D25</f>
        <v>-2.9317269076305377</v>
      </c>
      <c r="M25" s="151">
        <f t="shared" si="2"/>
        <v>-1.9472616632860058</v>
      </c>
      <c r="N25" s="181">
        <f>SQRT(AVERAGE(K25^2,L25^2,M25^2))</f>
        <v>2.3222602948802327</v>
      </c>
    </row>
    <row r="26" spans="1:14">
      <c r="A26" s="20" t="s">
        <v>7</v>
      </c>
      <c r="B26" s="20" t="s">
        <v>12</v>
      </c>
      <c r="C26" s="21">
        <v>21.2</v>
      </c>
      <c r="D26" s="22">
        <v>21.3</v>
      </c>
      <c r="E26" s="21">
        <v>21.7</v>
      </c>
      <c r="F26" s="22">
        <v>21</v>
      </c>
      <c r="G26" s="22">
        <v>20.6</v>
      </c>
      <c r="H26" s="30">
        <f t="shared" si="0"/>
        <v>-2.8301886792452731</v>
      </c>
      <c r="J26" s="156">
        <v>20.925000000000001</v>
      </c>
      <c r="K26" s="131">
        <f t="shared" si="1"/>
        <v>-1.2971698113207482</v>
      </c>
      <c r="L26" s="150">
        <f t="shared" ref="L26:M30" si="3">100*($J26-D26)/D26</f>
        <v>-1.76056338028169</v>
      </c>
      <c r="M26" s="151">
        <f t="shared" si="3"/>
        <v>-3.571428571428565</v>
      </c>
    </row>
    <row r="27" spans="1:14">
      <c r="A27" s="24" t="s">
        <v>8</v>
      </c>
      <c r="B27" s="24" t="s">
        <v>20</v>
      </c>
      <c r="C27" s="8">
        <v>6793</v>
      </c>
      <c r="D27" s="25">
        <v>6952</v>
      </c>
      <c r="E27" s="8">
        <v>6749</v>
      </c>
      <c r="F27" s="25">
        <v>6870</v>
      </c>
      <c r="G27" s="25">
        <v>6838</v>
      </c>
      <c r="H27" s="33">
        <f t="shared" si="0"/>
        <v>0.66244663624319156</v>
      </c>
      <c r="J27" s="147">
        <v>7153</v>
      </c>
      <c r="K27" s="132">
        <f t="shared" si="1"/>
        <v>5.2995730899455324</v>
      </c>
      <c r="L27" s="142">
        <f t="shared" si="3"/>
        <v>2.8912543153049484</v>
      </c>
      <c r="M27" s="152">
        <f t="shared" si="3"/>
        <v>5.9860720106682468</v>
      </c>
    </row>
    <row r="28" spans="1:14">
      <c r="A28" s="24" t="s">
        <v>9</v>
      </c>
      <c r="B28" s="24" t="s">
        <v>20</v>
      </c>
      <c r="C28" s="8">
        <v>6744</v>
      </c>
      <c r="D28" s="25">
        <v>6740</v>
      </c>
      <c r="E28" s="8">
        <v>6742</v>
      </c>
      <c r="F28" s="25">
        <v>6660</v>
      </c>
      <c r="G28" s="25">
        <v>6681</v>
      </c>
      <c r="H28" s="33">
        <f t="shared" si="0"/>
        <v>-0.9341637010676157</v>
      </c>
      <c r="J28" s="147">
        <v>6909</v>
      </c>
      <c r="K28" s="132">
        <f t="shared" si="1"/>
        <v>2.4466192170818504</v>
      </c>
      <c r="L28" s="142">
        <f t="shared" si="3"/>
        <v>2.5074183976261128</v>
      </c>
      <c r="M28" s="152">
        <f t="shared" si="3"/>
        <v>2.477009789380006</v>
      </c>
      <c r="N28" s="181">
        <f>SQRT(AVERAGE(K28^2,L28^2,M28^2))</f>
        <v>2.4771401595948297</v>
      </c>
    </row>
    <row r="29" spans="1:14">
      <c r="A29" s="24" t="s">
        <v>10</v>
      </c>
      <c r="B29" s="24" t="s">
        <v>176</v>
      </c>
      <c r="C29" s="16">
        <v>5.3999999999999999E-2</v>
      </c>
      <c r="D29" s="45">
        <v>4.1000000000000002E-2</v>
      </c>
      <c r="E29" s="16">
        <v>4.3999999999999997E-2</v>
      </c>
      <c r="F29" s="45">
        <v>4.8000000000000001E-2</v>
      </c>
      <c r="G29" s="45">
        <v>0.09</v>
      </c>
      <c r="H29" s="29">
        <f t="shared" si="0"/>
        <v>66.666666666666657</v>
      </c>
      <c r="J29" s="125">
        <v>4.9000000000000002E-2</v>
      </c>
      <c r="K29" s="132">
        <f t="shared" si="1"/>
        <v>-9.259259259259256</v>
      </c>
      <c r="L29" s="142">
        <f t="shared" si="3"/>
        <v>19.512195121951219</v>
      </c>
      <c r="M29" s="152">
        <f t="shared" si="3"/>
        <v>11.363636363636374</v>
      </c>
      <c r="N29" s="181">
        <f>SQRT(AVERAGE(K29^2,L29^2,M29^2))</f>
        <v>14.090089565746014</v>
      </c>
    </row>
    <row r="30" spans="1:14" ht="17" thickBot="1">
      <c r="A30" s="46" t="s">
        <v>11</v>
      </c>
      <c r="B30" s="46" t="s">
        <v>21</v>
      </c>
      <c r="C30" s="9">
        <v>8.9600000000000009</v>
      </c>
      <c r="D30" s="47">
        <v>8.93</v>
      </c>
      <c r="E30" s="9">
        <v>8.94</v>
      </c>
      <c r="F30" s="47">
        <v>8.93</v>
      </c>
      <c r="G30" s="47">
        <v>9.02</v>
      </c>
      <c r="H30" s="42">
        <f t="shared" si="0"/>
        <v>0.66964285714284277</v>
      </c>
      <c r="J30" s="129">
        <v>8.9860000000000007</v>
      </c>
      <c r="K30" s="133">
        <f t="shared" si="1"/>
        <v>0.29017857142856918</v>
      </c>
      <c r="L30" s="145">
        <f t="shared" si="3"/>
        <v>0.62709966405376194</v>
      </c>
      <c r="M30" s="153">
        <f t="shared" si="3"/>
        <v>0.51454138702462138</v>
      </c>
    </row>
    <row r="31" spans="1:14" ht="17" thickBot="1">
      <c r="A31" s="24"/>
      <c r="B31" s="24"/>
      <c r="C31" s="8"/>
      <c r="D31" s="25"/>
      <c r="E31" s="8"/>
      <c r="F31" s="25"/>
      <c r="G31" s="25"/>
      <c r="H31" s="33"/>
      <c r="J31" s="125"/>
      <c r="K31" s="132">
        <f>SQRT(AVERAGE(K25^2,K26^2,K27^2,K28^2,K29^2,K30^2))</f>
        <v>4.5709952174420563</v>
      </c>
      <c r="L31" s="132">
        <f t="shared" ref="L31:M31" si="4">SQRT(AVERAGE(L25^2,L26^2,L27^2,L28^2,L29^2,L30^2))</f>
        <v>8.240753576779154</v>
      </c>
      <c r="M31" s="130">
        <f t="shared" si="4"/>
        <v>5.5963164951544986</v>
      </c>
    </row>
    <row r="32" spans="1:14">
      <c r="A32" s="48" t="s">
        <v>2</v>
      </c>
      <c r="B32" s="48" t="s">
        <v>13</v>
      </c>
      <c r="C32" s="49">
        <v>0.85</v>
      </c>
      <c r="D32" s="50">
        <v>0.91</v>
      </c>
      <c r="E32" s="49">
        <v>0.82</v>
      </c>
      <c r="F32" s="50">
        <v>0.82</v>
      </c>
      <c r="G32" s="50">
        <v>0.83</v>
      </c>
      <c r="H32" s="51">
        <f t="shared" ref="H32:H38" si="5">100*(G32-C32)/C32</f>
        <v>-2.3529411764705905</v>
      </c>
      <c r="J32" s="156">
        <v>0.83099999999999996</v>
      </c>
      <c r="K32" s="131">
        <f t="shared" ref="K32:K38" si="6">100*($J32-C32)/C32</f>
        <v>-2.2352941176470607</v>
      </c>
      <c r="L32" s="150">
        <f t="shared" si="2"/>
        <v>-8.6813186813186896</v>
      </c>
      <c r="M32" s="151">
        <f t="shared" si="2"/>
        <v>1.3414634146341475</v>
      </c>
    </row>
    <row r="33" spans="1:16375">
      <c r="A33" s="48" t="s">
        <v>3</v>
      </c>
      <c r="B33" s="48" t="s">
        <v>14</v>
      </c>
      <c r="C33" s="49">
        <v>1.18</v>
      </c>
      <c r="D33" s="50">
        <v>1.1599999999999999</v>
      </c>
      <c r="E33" s="49">
        <v>1.22</v>
      </c>
      <c r="F33" s="50">
        <v>1.1399999999999999</v>
      </c>
      <c r="G33" s="50">
        <v>1.1100000000000001</v>
      </c>
      <c r="H33" s="51">
        <f t="shared" si="5"/>
        <v>-5.9322033898304953</v>
      </c>
      <c r="J33" s="125">
        <v>1.359</v>
      </c>
      <c r="K33" s="132">
        <f t="shared" si="6"/>
        <v>15.169491525423734</v>
      </c>
      <c r="L33" s="142">
        <f t="shared" si="2"/>
        <v>17.15517241379311</v>
      </c>
      <c r="M33" s="152">
        <f t="shared" si="2"/>
        <v>11.393442622950822</v>
      </c>
    </row>
    <row r="34" spans="1:16375">
      <c r="A34" s="48" t="s">
        <v>4</v>
      </c>
      <c r="B34" s="48" t="s">
        <v>15</v>
      </c>
      <c r="C34" s="49">
        <v>0.31</v>
      </c>
      <c r="D34" s="50">
        <v>0.35</v>
      </c>
      <c r="E34" s="49">
        <v>0.28999999999999998</v>
      </c>
      <c r="F34" s="50">
        <v>0.28999999999999998</v>
      </c>
      <c r="G34" s="50">
        <v>0.28999999999999998</v>
      </c>
      <c r="H34" s="51">
        <f t="shared" si="5"/>
        <v>-6.4516129032258123</v>
      </c>
      <c r="J34" s="125">
        <v>0.30199999999999999</v>
      </c>
      <c r="K34" s="132">
        <f t="shared" si="6"/>
        <v>-2.5806451612903247</v>
      </c>
      <c r="L34" s="142">
        <f t="shared" si="2"/>
        <v>-13.714285714285712</v>
      </c>
      <c r="M34" s="152">
        <f t="shared" si="2"/>
        <v>4.1379310344827624</v>
      </c>
    </row>
    <row r="35" spans="1:16375">
      <c r="A35" s="20" t="s">
        <v>5</v>
      </c>
      <c r="B35" s="20" t="s">
        <v>16</v>
      </c>
      <c r="C35" s="21">
        <v>0.56999999999999995</v>
      </c>
      <c r="D35" s="22">
        <v>0.64</v>
      </c>
      <c r="E35" s="21">
        <v>0.55000000000000004</v>
      </c>
      <c r="F35" s="22">
        <v>0.52</v>
      </c>
      <c r="G35" s="22">
        <v>0.57999999999999996</v>
      </c>
      <c r="H35" s="30">
        <f>100*(G35-C35)/C35</f>
        <v>1.7543859649122824</v>
      </c>
      <c r="J35" s="125">
        <v>0.501</v>
      </c>
      <c r="K35" s="132">
        <f t="shared" si="6"/>
        <v>-12.105263157894729</v>
      </c>
      <c r="L35" s="142">
        <f t="shared" si="2"/>
        <v>-21.718750000000004</v>
      </c>
      <c r="M35" s="152">
        <f t="shared" si="2"/>
        <v>-8.9090909090909154</v>
      </c>
    </row>
    <row r="36" spans="1:16375">
      <c r="A36" s="24" t="s">
        <v>6</v>
      </c>
      <c r="B36" s="24" t="s">
        <v>17</v>
      </c>
      <c r="C36" s="8">
        <v>0.32</v>
      </c>
      <c r="D36" s="25">
        <v>0.27</v>
      </c>
      <c r="E36" s="8">
        <v>0.36</v>
      </c>
      <c r="F36" s="25">
        <v>0.37</v>
      </c>
      <c r="G36" s="25">
        <v>0.3</v>
      </c>
      <c r="H36" s="33">
        <f>100*(G36-C36)/C36</f>
        <v>-6.2500000000000053</v>
      </c>
      <c r="J36" s="125">
        <v>0.32700000000000001</v>
      </c>
      <c r="K36" s="132">
        <f t="shared" si="6"/>
        <v>2.1875000000000018</v>
      </c>
      <c r="L36" s="142">
        <f t="shared" si="2"/>
        <v>21.111111111111107</v>
      </c>
      <c r="M36" s="152">
        <f t="shared" si="2"/>
        <v>-9.166666666666659</v>
      </c>
    </row>
    <row r="37" spans="1:16375">
      <c r="A37" s="24" t="s">
        <v>6</v>
      </c>
      <c r="B37" s="24" t="s">
        <v>18</v>
      </c>
      <c r="C37" s="8">
        <v>0.52</v>
      </c>
      <c r="D37" s="25">
        <v>0.47</v>
      </c>
      <c r="E37" s="8">
        <v>0.6</v>
      </c>
      <c r="F37" s="25">
        <v>0.61</v>
      </c>
      <c r="G37" s="25">
        <v>0.51</v>
      </c>
      <c r="H37" s="33">
        <f t="shared" si="5"/>
        <v>-1.9230769230769247</v>
      </c>
      <c r="J37" s="125">
        <v>0.53300000000000003</v>
      </c>
      <c r="K37" s="132">
        <f t="shared" si="6"/>
        <v>2.5000000000000022</v>
      </c>
      <c r="L37" s="142">
        <f t="shared" si="2"/>
        <v>13.40425531914895</v>
      </c>
      <c r="M37" s="152">
        <f t="shared" si="2"/>
        <v>-11.166666666666659</v>
      </c>
    </row>
    <row r="38" spans="1:16375" ht="17" thickBot="1">
      <c r="A38" s="26" t="s">
        <v>6</v>
      </c>
      <c r="B38" s="26" t="s">
        <v>19</v>
      </c>
      <c r="C38" s="27">
        <v>0.55000000000000004</v>
      </c>
      <c r="D38" s="28">
        <v>0.48</v>
      </c>
      <c r="E38" s="27">
        <v>0.55000000000000004</v>
      </c>
      <c r="F38" s="28">
        <v>0.6</v>
      </c>
      <c r="G38" s="28">
        <v>0.57999999999999996</v>
      </c>
      <c r="H38" s="39">
        <f t="shared" si="5"/>
        <v>5.454545454545439</v>
      </c>
      <c r="J38" s="129">
        <v>0.47499999999999998</v>
      </c>
      <c r="K38" s="133">
        <f t="shared" si="6"/>
        <v>-13.636363636363647</v>
      </c>
      <c r="L38" s="145">
        <f t="shared" si="2"/>
        <v>-1.0416666666666676</v>
      </c>
      <c r="M38" s="153">
        <f t="shared" si="2"/>
        <v>-13.636363636363647</v>
      </c>
    </row>
    <row r="39" spans="1:16375">
      <c r="A39" s="24"/>
      <c r="B39" s="24"/>
      <c r="C39" s="8"/>
      <c r="D39" s="25"/>
      <c r="E39" s="8"/>
      <c r="F39" s="25"/>
      <c r="G39" s="25"/>
      <c r="H39" s="33"/>
      <c r="J39" s="125"/>
      <c r="K39" s="132">
        <f>SQRT(AVERAGE(K32^2,K33^2,K34^2,K35^2,K36^2,K37^2,K38^2))</f>
        <v>9.1440277775465901</v>
      </c>
      <c r="L39" s="132">
        <f t="shared" ref="L39:M39" si="7">SQRT(AVERAGE(L32^2,L33^2,L34^2,L35^2,L36^2,L37^2,L38^2))</f>
        <v>15.380363692802764</v>
      </c>
      <c r="M39" s="130">
        <f t="shared" si="7"/>
        <v>9.4322930738214374</v>
      </c>
    </row>
    <row r="40" spans="1:16375">
      <c r="C40" s="1"/>
      <c r="D40" s="1"/>
      <c r="E40" s="1"/>
      <c r="F40" s="1"/>
      <c r="G40" s="1"/>
      <c r="H40" s="1"/>
      <c r="I40" s="1"/>
      <c r="J40" s="159" t="s">
        <v>204</v>
      </c>
      <c r="K40" s="122">
        <f>COUNTIF(K25:K38,"&gt;=-10")-COUNTIF(K25:K38,"&gt;10")</f>
        <v>11</v>
      </c>
      <c r="L40" s="122">
        <f>COUNTIF(L25:L38,"&gt;=-10")-COUNTIF(L25:L38,"&gt;10")</f>
        <v>8</v>
      </c>
      <c r="M40" s="122">
        <f>COUNTIF(M25:M38,"&gt;=-10")-COUNTIF(M25:M38,"&gt;10")</f>
        <v>10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</row>
    <row r="41" spans="1:16375">
      <c r="C41" s="1"/>
      <c r="D41" s="1"/>
      <c r="E41" s="1"/>
      <c r="F41" s="1"/>
      <c r="G41" s="1"/>
      <c r="H41" s="1"/>
      <c r="I41" s="1"/>
      <c r="J41" s="160" t="s">
        <v>205</v>
      </c>
      <c r="K41" s="123">
        <f>COUNTIF(K25:K38,"&gt;=-20")-COUNTIF(K25:K38,"&gt;20")</f>
        <v>14</v>
      </c>
      <c r="L41" s="123">
        <f>COUNTIF(L25:L38,"&gt;=-20")-COUNTIF(L25:L38,"&gt;20")</f>
        <v>12</v>
      </c>
      <c r="M41" s="123">
        <f>COUNTIF(M25:M38,"&gt;=-20")-COUNTIF(M25:M38,"&gt;20")</f>
        <v>14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</row>
    <row r="42" spans="1:16375" ht="17" thickBot="1">
      <c r="C42" s="1"/>
      <c r="D42" s="1"/>
      <c r="E42" s="1"/>
      <c r="F42" s="1"/>
      <c r="G42" s="1"/>
      <c r="H42" s="1"/>
      <c r="I42" s="1"/>
      <c r="J42" s="161" t="s">
        <v>190</v>
      </c>
      <c r="K42" s="124">
        <f>COUNTIF(K25:K38,"&lt;-50")+COUNTIF(K25:K38,"&gt;50")</f>
        <v>0</v>
      </c>
      <c r="L42" s="124">
        <f>COUNTIF(L25:L38,"&lt;-50")+COUNTIF(L25:L38,"&gt;50")</f>
        <v>0</v>
      </c>
      <c r="M42" s="124">
        <f>COUNTIF(M25:M38,"&lt;-50")+COUNTIF(M25:M38,"&gt;50")</f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</row>
    <row r="43" spans="1:16375">
      <c r="C43" s="1"/>
      <c r="D43" s="1"/>
      <c r="E43" s="1"/>
      <c r="F43" s="1"/>
      <c r="G43" s="1"/>
      <c r="H43" s="1"/>
      <c r="I43" s="1"/>
      <c r="J43" s="1"/>
      <c r="K43" s="140"/>
      <c r="L43" s="14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</row>
    <row r="44" spans="1:16375">
      <c r="G44" s="7" t="s">
        <v>201</v>
      </c>
      <c r="K44" s="140"/>
      <c r="L44" s="140"/>
    </row>
    <row r="45" spans="1:16375" ht="17" thickBot="1">
      <c r="G45" s="7" t="s">
        <v>202</v>
      </c>
      <c r="H45" s="19" t="s">
        <v>186</v>
      </c>
      <c r="K45" s="140" t="s">
        <v>186</v>
      </c>
      <c r="L45" s="140" t="s">
        <v>186</v>
      </c>
    </row>
    <row r="46" spans="1:16375" ht="33" thickBot="1">
      <c r="A46" s="53" t="s">
        <v>198</v>
      </c>
      <c r="B46" s="53" t="s">
        <v>180</v>
      </c>
      <c r="C46" s="57" t="s">
        <v>196</v>
      </c>
      <c r="D46" s="55" t="s">
        <v>22</v>
      </c>
      <c r="E46" s="54" t="s">
        <v>23</v>
      </c>
      <c r="F46" s="55" t="s">
        <v>89</v>
      </c>
      <c r="G46" s="55" t="s">
        <v>185</v>
      </c>
      <c r="H46" s="56" t="s">
        <v>193</v>
      </c>
      <c r="J46" s="156" t="s">
        <v>206</v>
      </c>
      <c r="K46" s="148" t="s">
        <v>207</v>
      </c>
      <c r="L46" s="148" t="s">
        <v>208</v>
      </c>
      <c r="M46" s="148" t="s">
        <v>209</v>
      </c>
    </row>
    <row r="47" spans="1:16375">
      <c r="A47" s="24" t="s">
        <v>1</v>
      </c>
      <c r="B47" s="24" t="s">
        <v>34</v>
      </c>
      <c r="C47" s="8">
        <v>2.0299999999999998</v>
      </c>
      <c r="D47" s="25">
        <v>2.06</v>
      </c>
      <c r="E47" s="8">
        <v>2.04</v>
      </c>
      <c r="F47" s="25">
        <v>2.02</v>
      </c>
      <c r="G47" s="109">
        <v>2.11</v>
      </c>
      <c r="H47" s="117">
        <f t="shared" ref="H47:H71" si="8">100*(G47-C47)/C47</f>
        <v>3.9408866995073932</v>
      </c>
      <c r="J47" s="156">
        <v>1.9610000000000001</v>
      </c>
      <c r="K47" s="173">
        <f>100*($J47-C47)/C47</f>
        <v>-3.3990147783251099</v>
      </c>
      <c r="L47" s="168">
        <f t="shared" ref="L47:M68" si="9">100*($J47-D47)/D47</f>
        <v>-4.8058252427184458</v>
      </c>
      <c r="M47" s="169">
        <f t="shared" si="9"/>
        <v>-3.8725490196078409</v>
      </c>
      <c r="N47" s="181">
        <f>SQRT(AVERAGE(K47^2,L47^2,M47^2))</f>
        <v>4.0680008864341852</v>
      </c>
    </row>
    <row r="48" spans="1:16375" ht="17" thickBot="1">
      <c r="A48" s="26" t="s">
        <v>24</v>
      </c>
      <c r="B48" s="26">
        <v>5876</v>
      </c>
      <c r="C48" s="27">
        <v>0.11600000000000001</v>
      </c>
      <c r="D48" s="28">
        <v>0.109</v>
      </c>
      <c r="E48" s="27">
        <v>0.11899999999999999</v>
      </c>
      <c r="F48" s="28">
        <v>0.11600000000000001</v>
      </c>
      <c r="G48" s="28">
        <v>0.115</v>
      </c>
      <c r="H48" s="39">
        <f t="shared" si="8"/>
        <v>-0.8620689655172421</v>
      </c>
      <c r="J48" s="129">
        <v>0.113</v>
      </c>
      <c r="K48" s="174">
        <f t="shared" ref="K48:K71" si="10">100*($J48-C48)/C48</f>
        <v>-2.5862068965517264</v>
      </c>
      <c r="L48" s="144">
        <f t="shared" si="9"/>
        <v>3.6697247706422051</v>
      </c>
      <c r="M48" s="170">
        <f t="shared" si="9"/>
        <v>-5.0420168067226827</v>
      </c>
    </row>
    <row r="49" spans="1:16">
      <c r="A49" s="20" t="s">
        <v>7</v>
      </c>
      <c r="B49" s="20" t="s">
        <v>34</v>
      </c>
      <c r="C49" s="21">
        <v>24.2</v>
      </c>
      <c r="D49" s="22">
        <v>24.1</v>
      </c>
      <c r="E49" s="21">
        <v>24.1</v>
      </c>
      <c r="F49" s="22">
        <v>24.3</v>
      </c>
      <c r="G49" s="22">
        <v>25.5</v>
      </c>
      <c r="H49" s="30">
        <f>100*(G49-C49)/C49</f>
        <v>5.3719008264462831</v>
      </c>
      <c r="J49" s="156">
        <v>23.623999999999999</v>
      </c>
      <c r="K49" s="173">
        <f t="shared" ref="K49:M53" si="11">100*($J49-C49)/C49</f>
        <v>-2.3801652892562006</v>
      </c>
      <c r="L49" s="168">
        <f t="shared" si="11"/>
        <v>-1.9751037344398448</v>
      </c>
      <c r="M49" s="169">
        <f t="shared" si="11"/>
        <v>-1.9751037344398448</v>
      </c>
    </row>
    <row r="50" spans="1:16">
      <c r="A50" s="24" t="s">
        <v>8</v>
      </c>
      <c r="B50" s="24" t="s">
        <v>20</v>
      </c>
      <c r="C50" s="8">
        <v>7552</v>
      </c>
      <c r="D50" s="25">
        <v>7815</v>
      </c>
      <c r="E50" s="8">
        <v>7741</v>
      </c>
      <c r="F50" s="25">
        <v>7650</v>
      </c>
      <c r="G50" s="25">
        <v>7582</v>
      </c>
      <c r="H50" s="33">
        <f>100*(G50-C50)/C50</f>
        <v>0.3972457627118644</v>
      </c>
      <c r="J50" s="128">
        <v>7747</v>
      </c>
      <c r="K50" s="175">
        <f t="shared" si="11"/>
        <v>2.5820974576271185</v>
      </c>
      <c r="L50" s="143">
        <f t="shared" si="11"/>
        <v>-0.8701215611004478</v>
      </c>
      <c r="M50" s="167">
        <f t="shared" si="11"/>
        <v>7.7509365715023898E-2</v>
      </c>
    </row>
    <row r="51" spans="1:16">
      <c r="A51" s="24" t="s">
        <v>9</v>
      </c>
      <c r="B51" s="24" t="s">
        <v>20</v>
      </c>
      <c r="C51" s="8">
        <v>8034</v>
      </c>
      <c r="D51" s="25">
        <v>8064</v>
      </c>
      <c r="E51" s="8">
        <v>8047</v>
      </c>
      <c r="F51" s="25">
        <v>8060</v>
      </c>
      <c r="G51" s="25">
        <v>8191</v>
      </c>
      <c r="H51" s="33">
        <f>100*(G51-C51)/C51</f>
        <v>1.9541946726412747</v>
      </c>
      <c r="J51" s="128">
        <v>8249</v>
      </c>
      <c r="K51" s="175">
        <f t="shared" si="11"/>
        <v>2.6761264625342296</v>
      </c>
      <c r="L51" s="143">
        <f t="shared" si="11"/>
        <v>2.2941468253968256</v>
      </c>
      <c r="M51" s="167">
        <f t="shared" si="11"/>
        <v>2.5102522679259351</v>
      </c>
      <c r="N51" s="181">
        <f>SQRT(AVERAGE(K51^2,L51^2,M51^2))</f>
        <v>2.4984080897364493</v>
      </c>
    </row>
    <row r="52" spans="1:16">
      <c r="A52" s="24" t="s">
        <v>10</v>
      </c>
      <c r="B52" s="24" t="s">
        <v>176</v>
      </c>
      <c r="C52" s="16">
        <v>0.77</v>
      </c>
      <c r="D52" s="45">
        <v>0.71</v>
      </c>
      <c r="E52" s="16">
        <v>0.77</v>
      </c>
      <c r="F52" s="45">
        <v>0.75</v>
      </c>
      <c r="G52" s="45">
        <v>0.79</v>
      </c>
      <c r="H52" s="33">
        <f>100*(G52-C52)/C52</f>
        <v>2.5974025974025996</v>
      </c>
      <c r="J52" s="125">
        <v>0.79800000000000004</v>
      </c>
      <c r="K52" s="175">
        <f t="shared" si="11"/>
        <v>3.6363636363636394</v>
      </c>
      <c r="L52" s="143">
        <f t="shared" si="11"/>
        <v>12.394366197183111</v>
      </c>
      <c r="M52" s="167">
        <f t="shared" si="11"/>
        <v>3.6363636363636394</v>
      </c>
      <c r="N52" s="181">
        <f>SQRT(AVERAGE(K52^2,L52^2,M52^2))</f>
        <v>7.7473994437189679</v>
      </c>
    </row>
    <row r="53" spans="1:16" ht="17" thickBot="1">
      <c r="A53" s="46" t="s">
        <v>11</v>
      </c>
      <c r="B53" s="46" t="s">
        <v>21</v>
      </c>
      <c r="C53" s="9">
        <v>1.48</v>
      </c>
      <c r="D53" s="47">
        <v>1.46</v>
      </c>
      <c r="E53" s="9">
        <v>1.46</v>
      </c>
      <c r="F53" s="47">
        <v>1.46</v>
      </c>
      <c r="G53" s="110">
        <v>1.49</v>
      </c>
      <c r="H53" s="42">
        <f>100*(G53-C53)/C53</f>
        <v>0.67567567567567632</v>
      </c>
      <c r="J53" s="129">
        <v>1.4530000000000001</v>
      </c>
      <c r="K53" s="174">
        <f t="shared" si="11"/>
        <v>-1.8243243243243186</v>
      </c>
      <c r="L53" s="144">
        <f t="shared" si="11"/>
        <v>-0.47945205479451336</v>
      </c>
      <c r="M53" s="170">
        <f t="shared" si="11"/>
        <v>-0.47945205479451336</v>
      </c>
    </row>
    <row r="54" spans="1:16">
      <c r="A54" s="24"/>
      <c r="B54" s="24"/>
      <c r="C54" s="8"/>
      <c r="D54" s="25"/>
      <c r="E54" s="8"/>
      <c r="F54" s="25"/>
      <c r="G54" s="109"/>
      <c r="H54" s="33"/>
      <c r="J54" s="125"/>
      <c r="K54" s="132">
        <f>SQRT(AVERAGE(K47^2,K48^2,K49^2,K50^2,K51^2,K52^2,K53^2))</f>
        <v>2.7848348050409903</v>
      </c>
      <c r="L54" s="132">
        <f t="shared" ref="L54:M54" si="12">SQRT(AVERAGE(L47^2,L48^2,L49^2,L50^2,L51^2,L52^2,L53^2))</f>
        <v>5.3496899751014304</v>
      </c>
      <c r="M54" s="132">
        <f t="shared" si="12"/>
        <v>3.0256048526216373</v>
      </c>
    </row>
    <row r="55" spans="1:16">
      <c r="A55" s="20" t="s">
        <v>25</v>
      </c>
      <c r="B55" s="20" t="s">
        <v>35</v>
      </c>
      <c r="C55" s="21">
        <v>0.16</v>
      </c>
      <c r="D55" s="22">
        <v>0.19</v>
      </c>
      <c r="E55" s="21">
        <v>0.17</v>
      </c>
      <c r="F55" s="22">
        <v>0.14000000000000001</v>
      </c>
      <c r="G55" s="22">
        <v>0.12</v>
      </c>
      <c r="H55" s="23">
        <f t="shared" si="8"/>
        <v>-25.000000000000004</v>
      </c>
      <c r="J55" s="125">
        <v>0.13300000000000001</v>
      </c>
      <c r="K55" s="175">
        <f t="shared" si="10"/>
        <v>-16.874999999999996</v>
      </c>
      <c r="L55" s="143">
        <f t="shared" si="9"/>
        <v>-29.999999999999996</v>
      </c>
      <c r="M55" s="167">
        <f t="shared" si="9"/>
        <v>-21.764705882352942</v>
      </c>
      <c r="N55" s="179">
        <f t="shared" ref="N55" si="13">K55^2</f>
        <v>284.76562499999989</v>
      </c>
      <c r="O55" s="179">
        <f t="shared" ref="O55" si="14">L55^2</f>
        <v>899.99999999999977</v>
      </c>
      <c r="P55" s="179">
        <f t="shared" ref="P55" si="15">M55^2</f>
        <v>473.70242214532874</v>
      </c>
    </row>
    <row r="56" spans="1:16">
      <c r="A56" s="26" t="s">
        <v>26</v>
      </c>
      <c r="B56" s="26" t="s">
        <v>36</v>
      </c>
      <c r="C56" s="27">
        <v>0.06</v>
      </c>
      <c r="D56" s="28">
        <v>5.8999999999999997E-2</v>
      </c>
      <c r="E56" s="27">
        <v>5.8999999999999997E-2</v>
      </c>
      <c r="F56" s="28">
        <v>6.5000000000000002E-2</v>
      </c>
      <c r="G56" s="28">
        <v>7.6999999999999999E-2</v>
      </c>
      <c r="H56" s="40">
        <f t="shared" si="8"/>
        <v>28.333333333333336</v>
      </c>
      <c r="J56" s="126">
        <v>0.1</v>
      </c>
      <c r="K56" s="175">
        <f t="shared" si="10"/>
        <v>66.666666666666686</v>
      </c>
      <c r="L56" s="143">
        <f t="shared" si="9"/>
        <v>69.491525423728831</v>
      </c>
      <c r="M56" s="167"/>
      <c r="N56" s="179"/>
      <c r="O56" s="179"/>
      <c r="P56" s="179"/>
    </row>
    <row r="57" spans="1:16">
      <c r="A57" s="20" t="s">
        <v>27</v>
      </c>
      <c r="B57" s="20" t="s">
        <v>37</v>
      </c>
      <c r="C57" s="21">
        <v>3.1E-2</v>
      </c>
      <c r="D57" s="22">
        <v>3.3000000000000002E-2</v>
      </c>
      <c r="E57" s="21"/>
      <c r="F57" s="22">
        <v>3.5999999999999997E-2</v>
      </c>
      <c r="G57" s="22">
        <v>3.6999999999999998E-2</v>
      </c>
      <c r="H57" s="22">
        <f t="shared" si="8"/>
        <v>19.354838709677416</v>
      </c>
      <c r="J57" s="127">
        <v>3.1E-2</v>
      </c>
      <c r="K57" s="175">
        <f t="shared" si="10"/>
        <v>0</v>
      </c>
      <c r="L57" s="143">
        <f t="shared" si="9"/>
        <v>-6.0606060606060659</v>
      </c>
      <c r="M57" s="167"/>
      <c r="N57" s="179">
        <f t="shared" ref="N57:N70" si="16">K57^2</f>
        <v>0</v>
      </c>
      <c r="O57" s="179">
        <f t="shared" ref="O57:O70" si="17">L57^2</f>
        <v>36.730945821854974</v>
      </c>
      <c r="P57" s="179"/>
    </row>
    <row r="58" spans="1:16">
      <c r="A58" s="24" t="s">
        <v>27</v>
      </c>
      <c r="B58" s="24" t="s">
        <v>13</v>
      </c>
      <c r="C58" s="8">
        <v>0.79</v>
      </c>
      <c r="D58" s="25">
        <v>0.88</v>
      </c>
      <c r="E58" s="8">
        <v>0.74</v>
      </c>
      <c r="F58" s="25">
        <v>0.78</v>
      </c>
      <c r="G58" s="25">
        <v>0.81</v>
      </c>
      <c r="H58" s="33">
        <f t="shared" si="8"/>
        <v>2.5316455696202551</v>
      </c>
      <c r="J58" s="125">
        <v>0.63600000000000001</v>
      </c>
      <c r="K58" s="175">
        <f t="shared" si="10"/>
        <v>-19.49367088607595</v>
      </c>
      <c r="L58" s="143">
        <f t="shared" si="9"/>
        <v>-27.727272727272727</v>
      </c>
      <c r="M58" s="167">
        <f t="shared" si="9"/>
        <v>-14.054054054054053</v>
      </c>
      <c r="N58" s="179">
        <f t="shared" si="16"/>
        <v>380.00320461464514</v>
      </c>
      <c r="O58" s="179">
        <f t="shared" si="17"/>
        <v>768.80165289256195</v>
      </c>
      <c r="P58" s="179">
        <f t="shared" ref="P58:P70" si="18">M58^2</f>
        <v>197.51643535427314</v>
      </c>
    </row>
    <row r="59" spans="1:16">
      <c r="A59" s="26" t="s">
        <v>28</v>
      </c>
      <c r="B59" s="26" t="s">
        <v>38</v>
      </c>
      <c r="C59" s="27">
        <v>0.27</v>
      </c>
      <c r="D59" s="28">
        <v>0.27</v>
      </c>
      <c r="E59" s="27">
        <v>0.28999999999999998</v>
      </c>
      <c r="F59" s="28">
        <v>0.3</v>
      </c>
      <c r="G59" s="28">
        <v>0.27</v>
      </c>
      <c r="H59" s="39">
        <f t="shared" si="8"/>
        <v>0</v>
      </c>
      <c r="J59" s="126">
        <v>0.29299999999999998</v>
      </c>
      <c r="K59" s="175">
        <f t="shared" si="10"/>
        <v>8.5185185185185048</v>
      </c>
      <c r="L59" s="143">
        <f t="shared" si="9"/>
        <v>8.5185185185185048</v>
      </c>
      <c r="M59" s="167">
        <f t="shared" si="9"/>
        <v>1.0344827586206906</v>
      </c>
      <c r="N59" s="179">
        <f t="shared" si="16"/>
        <v>72.565157750342706</v>
      </c>
      <c r="O59" s="179">
        <f t="shared" si="17"/>
        <v>72.565157750342706</v>
      </c>
      <c r="P59" s="179">
        <f t="shared" si="18"/>
        <v>1.070154577883474</v>
      </c>
    </row>
    <row r="60" spans="1:16">
      <c r="A60" s="20" t="s">
        <v>29</v>
      </c>
      <c r="B60" s="20" t="s">
        <v>14</v>
      </c>
      <c r="C60" s="21">
        <v>2.16</v>
      </c>
      <c r="D60" s="22">
        <v>2.19</v>
      </c>
      <c r="E60" s="21">
        <v>2.14</v>
      </c>
      <c r="F60" s="22">
        <v>2.11</v>
      </c>
      <c r="G60" s="22">
        <v>2.2000000000000002</v>
      </c>
      <c r="H60" s="30">
        <f t="shared" si="8"/>
        <v>1.8518518518518534</v>
      </c>
      <c r="J60" s="127">
        <v>2.0409999999999999</v>
      </c>
      <c r="K60" s="175">
        <f t="shared" si="10"/>
        <v>-5.5092592592592693</v>
      </c>
      <c r="L60" s="143">
        <f t="shared" si="9"/>
        <v>-6.8036529680365305</v>
      </c>
      <c r="M60" s="167">
        <f t="shared" si="9"/>
        <v>-4.6261682242990743</v>
      </c>
      <c r="N60" s="179">
        <f t="shared" si="16"/>
        <v>30.351937585733992</v>
      </c>
      <c r="O60" s="179">
        <f t="shared" si="17"/>
        <v>46.289693709472289</v>
      </c>
      <c r="P60" s="179">
        <f t="shared" si="18"/>
        <v>21.401432439514451</v>
      </c>
    </row>
    <row r="61" spans="1:16">
      <c r="A61" s="24" t="s">
        <v>30</v>
      </c>
      <c r="B61" s="24" t="s">
        <v>39</v>
      </c>
      <c r="C61" s="8">
        <v>1.07</v>
      </c>
      <c r="D61" s="25">
        <v>1.04</v>
      </c>
      <c r="E61" s="8">
        <v>1.1100000000000001</v>
      </c>
      <c r="F61" s="25">
        <v>1.08</v>
      </c>
      <c r="G61" s="25">
        <v>1.04</v>
      </c>
      <c r="H61" s="33">
        <f t="shared" si="8"/>
        <v>-2.8037383177570119</v>
      </c>
      <c r="J61" s="125">
        <v>1.1180000000000001</v>
      </c>
      <c r="K61" s="175">
        <f t="shared" si="10"/>
        <v>4.485981308411219</v>
      </c>
      <c r="L61" s="143">
        <f t="shared" si="9"/>
        <v>7.5000000000000062</v>
      </c>
      <c r="M61" s="167">
        <f t="shared" si="9"/>
        <v>0.72072072072072135</v>
      </c>
      <c r="N61" s="179">
        <f t="shared" si="16"/>
        <v>20.124028299414832</v>
      </c>
      <c r="O61" s="179">
        <f t="shared" si="17"/>
        <v>56.250000000000092</v>
      </c>
      <c r="P61" s="179">
        <f t="shared" si="18"/>
        <v>0.51943835727619603</v>
      </c>
    </row>
    <row r="62" spans="1:16">
      <c r="A62" s="24" t="s">
        <v>30</v>
      </c>
      <c r="B62" s="24" t="s">
        <v>40</v>
      </c>
      <c r="C62" s="8">
        <v>1.23</v>
      </c>
      <c r="D62" s="25">
        <v>1.07</v>
      </c>
      <c r="E62" s="8">
        <v>1.28</v>
      </c>
      <c r="F62" s="25">
        <v>1.25</v>
      </c>
      <c r="G62" s="25">
        <v>1.2</v>
      </c>
      <c r="H62" s="33">
        <f t="shared" si="8"/>
        <v>-2.4390243902439046</v>
      </c>
      <c r="J62" s="125">
        <v>1.345</v>
      </c>
      <c r="K62" s="175">
        <f t="shared" si="10"/>
        <v>9.3495934959349594</v>
      </c>
      <c r="L62" s="143">
        <f t="shared" si="9"/>
        <v>25.700934579439245</v>
      </c>
      <c r="M62" s="167">
        <f t="shared" si="9"/>
        <v>5.0781249999999956</v>
      </c>
      <c r="N62" s="179">
        <f t="shared" si="16"/>
        <v>87.414898539229299</v>
      </c>
      <c r="O62" s="179">
        <f t="shared" si="17"/>
        <v>660.53803825661589</v>
      </c>
      <c r="P62" s="179">
        <f t="shared" si="18"/>
        <v>25.787353515624954</v>
      </c>
    </row>
    <row r="63" spans="1:16">
      <c r="A63" s="26" t="s">
        <v>30</v>
      </c>
      <c r="B63" s="26" t="s">
        <v>41</v>
      </c>
      <c r="C63" s="27">
        <v>2.06</v>
      </c>
      <c r="D63" s="28">
        <v>1.93</v>
      </c>
      <c r="E63" s="27">
        <v>1.96</v>
      </c>
      <c r="F63" s="28">
        <v>2.17</v>
      </c>
      <c r="G63" s="28">
        <v>2.2200000000000002</v>
      </c>
      <c r="H63" s="39">
        <f t="shared" si="8"/>
        <v>7.7669902912621422</v>
      </c>
      <c r="J63" s="126">
        <v>2.782</v>
      </c>
      <c r="K63" s="175">
        <f t="shared" si="10"/>
        <v>35.04854368932039</v>
      </c>
      <c r="L63" s="143">
        <f t="shared" si="9"/>
        <v>44.145077720207254</v>
      </c>
      <c r="M63" s="167">
        <f t="shared" si="9"/>
        <v>41.938775510204081</v>
      </c>
      <c r="N63" s="179">
        <f t="shared" si="16"/>
        <v>1228.4004147422002</v>
      </c>
      <c r="O63" s="179">
        <f t="shared" si="17"/>
        <v>1948.787886923139</v>
      </c>
      <c r="P63" s="179">
        <f t="shared" si="18"/>
        <v>1758.8608912952936</v>
      </c>
    </row>
    <row r="64" spans="1:16">
      <c r="A64" s="20" t="s">
        <v>4</v>
      </c>
      <c r="B64" s="20" t="s">
        <v>15</v>
      </c>
      <c r="C64" s="21">
        <v>0.22</v>
      </c>
      <c r="D64" s="22">
        <v>0.23</v>
      </c>
      <c r="E64" s="21">
        <v>0.19</v>
      </c>
      <c r="F64" s="22">
        <v>0.2</v>
      </c>
      <c r="G64" s="22">
        <v>0.22</v>
      </c>
      <c r="H64" s="30">
        <f t="shared" si="8"/>
        <v>0</v>
      </c>
      <c r="J64" s="127">
        <v>0.20499999999999999</v>
      </c>
      <c r="K64" s="175">
        <f t="shared" si="10"/>
        <v>-6.8181818181818246</v>
      </c>
      <c r="L64" s="143">
        <f t="shared" si="9"/>
        <v>-10.869565217391314</v>
      </c>
      <c r="M64" s="167">
        <f t="shared" si="9"/>
        <v>7.8947368421052557</v>
      </c>
      <c r="N64" s="179">
        <f t="shared" si="16"/>
        <v>46.487603305785214</v>
      </c>
      <c r="O64" s="179">
        <f t="shared" si="17"/>
        <v>118.14744801512308</v>
      </c>
      <c r="P64" s="179">
        <f t="shared" si="18"/>
        <v>62.326869806094066</v>
      </c>
    </row>
    <row r="65" spans="1:16">
      <c r="A65" s="24" t="s">
        <v>31</v>
      </c>
      <c r="B65" s="24" t="s">
        <v>42</v>
      </c>
      <c r="C65" s="8">
        <v>0.38</v>
      </c>
      <c r="D65" s="25">
        <v>0.43</v>
      </c>
      <c r="E65" s="8">
        <v>0.43</v>
      </c>
      <c r="F65" s="25">
        <v>0.42</v>
      </c>
      <c r="G65" s="25">
        <v>0.34</v>
      </c>
      <c r="H65" s="25">
        <f t="shared" si="8"/>
        <v>-10.52631578947368</v>
      </c>
      <c r="J65" s="125">
        <v>0.28499999999999998</v>
      </c>
      <c r="K65" s="175">
        <f t="shared" si="10"/>
        <v>-25.000000000000011</v>
      </c>
      <c r="L65" s="143">
        <f t="shared" si="9"/>
        <v>-33.720930232558146</v>
      </c>
      <c r="M65" s="167">
        <f t="shared" si="9"/>
        <v>-33.720930232558146</v>
      </c>
      <c r="N65" s="179">
        <f t="shared" si="16"/>
        <v>625.00000000000057</v>
      </c>
      <c r="O65" s="179">
        <f t="shared" si="17"/>
        <v>1137.101135749054</v>
      </c>
      <c r="P65" s="179">
        <f t="shared" si="18"/>
        <v>1137.101135749054</v>
      </c>
    </row>
    <row r="66" spans="1:16">
      <c r="A66" s="26" t="s">
        <v>31</v>
      </c>
      <c r="B66" s="26" t="s">
        <v>43</v>
      </c>
      <c r="C66" s="27">
        <v>8.5999999999999993E-2</v>
      </c>
      <c r="D66" s="28">
        <v>0.10299999999999999</v>
      </c>
      <c r="E66" s="27">
        <v>8.5999999999999993E-2</v>
      </c>
      <c r="F66" s="28">
        <v>7.9000000000000001E-2</v>
      </c>
      <c r="G66" s="28">
        <v>8.6999999999999994E-2</v>
      </c>
      <c r="H66" s="39">
        <f t="shared" si="8"/>
        <v>1.1627906976744198</v>
      </c>
      <c r="J66" s="126">
        <v>8.6999999999999994E-2</v>
      </c>
      <c r="K66" s="175">
        <f t="shared" si="10"/>
        <v>1.1627906976744198</v>
      </c>
      <c r="L66" s="143">
        <f t="shared" si="9"/>
        <v>-15.533980582524274</v>
      </c>
      <c r="M66" s="167">
        <f t="shared" si="9"/>
        <v>1.1627906976744198</v>
      </c>
      <c r="N66" s="179">
        <f t="shared" si="16"/>
        <v>1.3520822065981639</v>
      </c>
      <c r="O66" s="179">
        <f t="shared" si="17"/>
        <v>241.30455273824117</v>
      </c>
      <c r="P66" s="179">
        <f t="shared" si="18"/>
        <v>1.3520822065981639</v>
      </c>
    </row>
    <row r="67" spans="1:16">
      <c r="A67" s="20" t="s">
        <v>32</v>
      </c>
      <c r="B67" s="20" t="s">
        <v>16</v>
      </c>
      <c r="C67" s="21">
        <v>0.2</v>
      </c>
      <c r="D67" s="22">
        <v>0.23</v>
      </c>
      <c r="E67" s="21">
        <v>0.16</v>
      </c>
      <c r="F67" s="22">
        <v>0.17</v>
      </c>
      <c r="G67" s="22">
        <v>0.15</v>
      </c>
      <c r="H67" s="23">
        <f t="shared" si="8"/>
        <v>-25.000000000000007</v>
      </c>
      <c r="J67" s="127">
        <v>0.151</v>
      </c>
      <c r="K67" s="175">
        <f t="shared" si="10"/>
        <v>-24.500000000000004</v>
      </c>
      <c r="L67" s="143">
        <f t="shared" si="9"/>
        <v>-34.347826086956523</v>
      </c>
      <c r="M67" s="167">
        <f t="shared" si="9"/>
        <v>-5.6250000000000044</v>
      </c>
      <c r="N67" s="179">
        <f t="shared" si="16"/>
        <v>600.25000000000023</v>
      </c>
      <c r="O67" s="179">
        <f t="shared" si="17"/>
        <v>1179.7731568998111</v>
      </c>
      <c r="P67" s="179">
        <f t="shared" si="18"/>
        <v>31.64062500000005</v>
      </c>
    </row>
    <row r="68" spans="1:16">
      <c r="A68" s="24" t="s">
        <v>6</v>
      </c>
      <c r="B68" s="24" t="s">
        <v>17</v>
      </c>
      <c r="C68" s="8">
        <v>0.55000000000000004</v>
      </c>
      <c r="D68" s="25">
        <v>0.48</v>
      </c>
      <c r="E68" s="8">
        <v>0.56000000000000005</v>
      </c>
      <c r="F68" s="25">
        <v>0.55000000000000004</v>
      </c>
      <c r="G68" s="25">
        <v>0.57999999999999996</v>
      </c>
      <c r="H68" s="33">
        <f t="shared" si="8"/>
        <v>5.454545454545439</v>
      </c>
      <c r="J68" s="125">
        <v>0.54900000000000004</v>
      </c>
      <c r="K68" s="175">
        <f t="shared" si="10"/>
        <v>-0.18181818181818196</v>
      </c>
      <c r="L68" s="143">
        <f t="shared" si="9"/>
        <v>14.375000000000012</v>
      </c>
      <c r="M68" s="167">
        <f t="shared" si="9"/>
        <v>-1.9642857142857157</v>
      </c>
      <c r="N68" s="179">
        <f t="shared" si="16"/>
        <v>3.3057851239669471E-2</v>
      </c>
      <c r="O68" s="179">
        <f t="shared" si="17"/>
        <v>206.64062500000037</v>
      </c>
      <c r="P68" s="179">
        <f t="shared" si="18"/>
        <v>3.8584183673469443</v>
      </c>
    </row>
    <row r="69" spans="1:16">
      <c r="A69" s="24" t="s">
        <v>6</v>
      </c>
      <c r="B69" s="24" t="s">
        <v>18</v>
      </c>
      <c r="C69" s="8">
        <v>0.89</v>
      </c>
      <c r="D69" s="25">
        <v>0.82</v>
      </c>
      <c r="E69" s="8">
        <v>0.89</v>
      </c>
      <c r="F69" s="25">
        <v>0.88</v>
      </c>
      <c r="G69" s="25">
        <v>0.92</v>
      </c>
      <c r="H69" s="33">
        <f t="shared" si="8"/>
        <v>3.3707865168539355</v>
      </c>
      <c r="J69" s="125">
        <v>0.86499999999999999</v>
      </c>
      <c r="K69" s="175">
        <f t="shared" si="10"/>
        <v>-2.8089887640449462</v>
      </c>
      <c r="L69" s="143">
        <f t="shared" ref="L69:L71" si="19">100*($J69-D69)/D69</f>
        <v>5.4878048780487854</v>
      </c>
      <c r="M69" s="167">
        <f t="shared" ref="M69:M71" si="20">100*($J69-E69)/E69</f>
        <v>-2.8089887640449462</v>
      </c>
      <c r="N69" s="179">
        <f t="shared" si="16"/>
        <v>7.8904178765307549</v>
      </c>
      <c r="O69" s="179">
        <f t="shared" si="17"/>
        <v>30.116002379536045</v>
      </c>
      <c r="P69" s="179">
        <f t="shared" si="18"/>
        <v>7.8904178765307549</v>
      </c>
    </row>
    <row r="70" spans="1:16">
      <c r="A70" s="24" t="s">
        <v>6</v>
      </c>
      <c r="B70" s="24" t="s">
        <v>19</v>
      </c>
      <c r="C70" s="8">
        <v>1.29</v>
      </c>
      <c r="D70" s="25">
        <v>1.27</v>
      </c>
      <c r="E70" s="8">
        <v>1.23</v>
      </c>
      <c r="F70" s="25">
        <v>1.27</v>
      </c>
      <c r="G70" s="25">
        <v>1.32</v>
      </c>
      <c r="H70" s="33">
        <f t="shared" si="8"/>
        <v>2.3255813953488391</v>
      </c>
      <c r="J70" s="125">
        <v>1.115</v>
      </c>
      <c r="K70" s="175">
        <f t="shared" si="10"/>
        <v>-13.56589147286822</v>
      </c>
      <c r="L70" s="143">
        <f t="shared" si="19"/>
        <v>-12.204724409448822</v>
      </c>
      <c r="M70" s="167">
        <f t="shared" si="20"/>
        <v>-9.3495934959349594</v>
      </c>
      <c r="N70" s="179">
        <f t="shared" si="16"/>
        <v>184.03341145363868</v>
      </c>
      <c r="O70" s="179">
        <f t="shared" si="17"/>
        <v>148.9552979105959</v>
      </c>
      <c r="P70" s="179">
        <f t="shared" si="18"/>
        <v>87.414898539229299</v>
      </c>
    </row>
    <row r="71" spans="1:16">
      <c r="A71" s="26" t="s">
        <v>33</v>
      </c>
      <c r="B71" s="26" t="s">
        <v>44</v>
      </c>
      <c r="C71" s="27">
        <v>0.34</v>
      </c>
      <c r="D71" s="28">
        <v>0.37</v>
      </c>
      <c r="E71" s="27">
        <v>0.42</v>
      </c>
      <c r="F71" s="28">
        <v>0.41</v>
      </c>
      <c r="G71" s="28">
        <v>0.38</v>
      </c>
      <c r="H71" s="28">
        <f t="shared" si="8"/>
        <v>11.764705882352935</v>
      </c>
      <c r="J71" s="125">
        <v>0.20100000000000001</v>
      </c>
      <c r="K71" s="175">
        <f t="shared" si="10"/>
        <v>-40.882352941176471</v>
      </c>
      <c r="L71" s="143">
        <f t="shared" si="19"/>
        <v>-45.67567567567567</v>
      </c>
      <c r="M71" s="167">
        <f t="shared" si="20"/>
        <v>-52.142857142857139</v>
      </c>
      <c r="N71" s="179"/>
      <c r="O71" s="179"/>
      <c r="P71" s="179"/>
    </row>
    <row r="72" spans="1:16" ht="17" thickBot="1">
      <c r="A72" s="24"/>
      <c r="B72" s="24"/>
      <c r="C72" s="8"/>
      <c r="D72" s="25"/>
      <c r="E72" s="8"/>
      <c r="F72" s="25"/>
      <c r="G72" s="25"/>
      <c r="H72" s="25"/>
      <c r="J72" s="125"/>
      <c r="K72" s="142">
        <f>SQRT(AVERAGE(N55:N71))</f>
        <v>15.424378624384104</v>
      </c>
      <c r="L72" s="142">
        <f t="shared" ref="L72:M72" si="21">SQRT(AVERAGE(O55:O71))</f>
        <v>22.438065267228883</v>
      </c>
      <c r="M72" s="142">
        <f t="shared" si="21"/>
        <v>16.497711043029245</v>
      </c>
    </row>
    <row r="73" spans="1:16">
      <c r="J73" s="162" t="s">
        <v>204</v>
      </c>
      <c r="K73" s="171">
        <f>COUNTIF(K47:K71,"&gt;=-10")-COUNTIF(K47:K71,"&gt;10")</f>
        <v>17</v>
      </c>
      <c r="L73" s="171">
        <f>COUNTIF(L47:L71,"&gt;=-10")-COUNTIF(L47:L71,"&gt;10")</f>
        <v>12</v>
      </c>
      <c r="M73" s="171">
        <f>COUNTIF(M47:M71,"&gt;=-10")-COUNTIF(M47:M71,"&gt;10")</f>
        <v>18</v>
      </c>
    </row>
    <row r="74" spans="1:16">
      <c r="J74" s="160" t="s">
        <v>205</v>
      </c>
      <c r="K74" s="123">
        <f>COUNTIF(K47:K71,"&gt;=-20")-COUNTIF(K47:K71,"&gt;20")</f>
        <v>20</v>
      </c>
      <c r="L74" s="123">
        <f>COUNTIF(L47:L71,"&gt;=-20")-COUNTIF(L47:L71,"&gt;20")</f>
        <v>17</v>
      </c>
      <c r="M74" s="123">
        <f>COUNTIF(M47:M71,"&gt;=-20")-COUNTIF(M47:M71,"&gt;20")</f>
        <v>19</v>
      </c>
    </row>
    <row r="75" spans="1:16" ht="17" thickBot="1">
      <c r="J75" s="161" t="s">
        <v>190</v>
      </c>
      <c r="K75" s="124">
        <f>COUNTIF(K47:K71,"&lt;-50")+COUNTIF(K47:K71,"&gt;50")</f>
        <v>1</v>
      </c>
      <c r="L75" s="124">
        <f>COUNTIF(L47:L71,"&lt;-50")+COUNTIF(L47:L71,"&gt;50")</f>
        <v>1</v>
      </c>
      <c r="M75" s="124">
        <f>COUNTIF(M47:M71,"&lt;-50")+COUNTIF(M47:M71,"&gt;50")</f>
        <v>1</v>
      </c>
    </row>
    <row r="76" spans="1:16">
      <c r="G76" s="7"/>
      <c r="J76" s="114"/>
      <c r="K76" s="140"/>
      <c r="L76" s="140"/>
    </row>
    <row r="77" spans="1:16">
      <c r="G77" s="7" t="s">
        <v>201</v>
      </c>
      <c r="J77" s="114"/>
      <c r="K77" s="140"/>
      <c r="L77" s="140"/>
    </row>
    <row r="78" spans="1:16" ht="17" thickBot="1">
      <c r="G78" s="7" t="s">
        <v>202</v>
      </c>
      <c r="H78" s="17" t="s">
        <v>186</v>
      </c>
      <c r="K78" s="140" t="s">
        <v>186</v>
      </c>
      <c r="L78" s="140" t="s">
        <v>186</v>
      </c>
    </row>
    <row r="79" spans="1:16" ht="33" thickBot="1">
      <c r="A79" s="53" t="s">
        <v>90</v>
      </c>
      <c r="B79" s="53" t="s">
        <v>180</v>
      </c>
      <c r="C79" s="57" t="s">
        <v>196</v>
      </c>
      <c r="D79" s="55" t="s">
        <v>22</v>
      </c>
      <c r="E79" s="54" t="s">
        <v>23</v>
      </c>
      <c r="F79" s="55" t="s">
        <v>89</v>
      </c>
      <c r="G79" s="55" t="s">
        <v>185</v>
      </c>
      <c r="H79" s="57" t="s">
        <v>193</v>
      </c>
      <c r="J79" s="156" t="s">
        <v>206</v>
      </c>
      <c r="K79" s="148" t="s">
        <v>207</v>
      </c>
      <c r="L79" s="148" t="s">
        <v>208</v>
      </c>
      <c r="M79" s="148" t="s">
        <v>209</v>
      </c>
    </row>
    <row r="80" spans="1:16">
      <c r="A80" s="24" t="s">
        <v>91</v>
      </c>
      <c r="B80" s="24" t="s">
        <v>176</v>
      </c>
      <c r="C80" s="8">
        <v>4.62</v>
      </c>
      <c r="D80" s="33">
        <v>4.59</v>
      </c>
      <c r="E80" s="8">
        <v>4.8099999999999996</v>
      </c>
      <c r="F80" s="25">
        <v>4.67</v>
      </c>
      <c r="G80" s="8">
        <v>4.58</v>
      </c>
      <c r="H80" s="33">
        <f t="shared" ref="H80:H102" si="22">100*(G80-C80)/C80</f>
        <v>-0.86580086580086657</v>
      </c>
      <c r="J80" s="156">
        <v>4.5599999999999996</v>
      </c>
      <c r="K80" s="173">
        <f>100*($J80-C80)/C80</f>
        <v>-1.2987012987013093</v>
      </c>
      <c r="L80" s="168">
        <f t="shared" ref="L80:M101" si="23">100*($J80-D80)/D80</f>
        <v>-0.65359477124183551</v>
      </c>
      <c r="M80" s="169">
        <f t="shared" si="23"/>
        <v>-5.1975051975051976</v>
      </c>
      <c r="N80" s="181">
        <f>SQRT(AVERAGE(K80^2,L80^2,M80^2))</f>
        <v>3.1159734416035851</v>
      </c>
    </row>
    <row r="81" spans="1:16" ht="17" thickBot="1">
      <c r="A81" s="26" t="s">
        <v>24</v>
      </c>
      <c r="B81" s="26">
        <v>5876</v>
      </c>
      <c r="C81" s="27">
        <v>0.12</v>
      </c>
      <c r="D81" s="28">
        <v>0.13</v>
      </c>
      <c r="E81" s="27">
        <v>0.11</v>
      </c>
      <c r="F81" s="28">
        <v>0.12</v>
      </c>
      <c r="G81" s="28">
        <v>0.11</v>
      </c>
      <c r="H81" s="39">
        <f t="shared" si="22"/>
        <v>-8.3333333333333304</v>
      </c>
      <c r="J81" s="129">
        <v>0.109</v>
      </c>
      <c r="K81" s="174">
        <f t="shared" ref="K81:K102" si="24">100*($J81-C81)/C81</f>
        <v>-9.1666666666666643</v>
      </c>
      <c r="L81" s="144">
        <f t="shared" si="23"/>
        <v>-16.153846153846157</v>
      </c>
      <c r="M81" s="170">
        <f t="shared" si="23"/>
        <v>-0.90909090909090995</v>
      </c>
    </row>
    <row r="82" spans="1:16">
      <c r="A82" s="20" t="s">
        <v>92</v>
      </c>
      <c r="B82" s="20" t="s">
        <v>176</v>
      </c>
      <c r="C82" s="21">
        <v>50.3</v>
      </c>
      <c r="D82" s="22">
        <v>52.6</v>
      </c>
      <c r="E82" s="21">
        <v>52.4</v>
      </c>
      <c r="F82" s="22">
        <v>49.4</v>
      </c>
      <c r="G82" s="22">
        <v>47.4</v>
      </c>
      <c r="H82" s="30">
        <f>100*(G82-C82)/C82</f>
        <v>-5.7654075546719659</v>
      </c>
      <c r="J82" s="156">
        <v>51.444000000000003</v>
      </c>
      <c r="K82" s="173">
        <f t="shared" ref="K82:M86" si="25">100*($J82-C82)/C82</f>
        <v>2.2743538767395735</v>
      </c>
      <c r="L82" s="168">
        <f t="shared" si="25"/>
        <v>-2.1977186311787049</v>
      </c>
      <c r="M82" s="169">
        <f t="shared" si="25"/>
        <v>-1.8244274809160228</v>
      </c>
    </row>
    <row r="83" spans="1:16">
      <c r="A83" s="24" t="s">
        <v>8</v>
      </c>
      <c r="B83" s="24" t="s">
        <v>20</v>
      </c>
      <c r="C83" s="81">
        <v>7989</v>
      </c>
      <c r="D83" s="82">
        <v>8206</v>
      </c>
      <c r="E83" s="81">
        <v>7582</v>
      </c>
      <c r="F83" s="82">
        <v>8200</v>
      </c>
      <c r="G83" s="82">
        <v>8122</v>
      </c>
      <c r="H83" s="33">
        <f>100*(G83-C83)/C83</f>
        <v>1.6647890849918638</v>
      </c>
      <c r="J83" s="128">
        <v>8489</v>
      </c>
      <c r="K83" s="175">
        <f t="shared" si="25"/>
        <v>6.2586055826761795</v>
      </c>
      <c r="L83" s="143">
        <f t="shared" si="25"/>
        <v>3.4486960760419207</v>
      </c>
      <c r="M83" s="167">
        <f t="shared" si="25"/>
        <v>11.962542864679504</v>
      </c>
    </row>
    <row r="84" spans="1:16">
      <c r="A84" s="24" t="s">
        <v>9</v>
      </c>
      <c r="B84" s="24" t="s">
        <v>20</v>
      </c>
      <c r="C84" s="81">
        <v>8263</v>
      </c>
      <c r="D84" s="82">
        <v>8324</v>
      </c>
      <c r="E84" s="81">
        <v>8351</v>
      </c>
      <c r="F84" s="82">
        <v>8200</v>
      </c>
      <c r="G84" s="82">
        <v>8217</v>
      </c>
      <c r="H84" s="33">
        <f>100*(G84-C84)/C84</f>
        <v>-0.5566985356408084</v>
      </c>
      <c r="J84" s="128">
        <v>8537</v>
      </c>
      <c r="K84" s="175">
        <f t="shared" si="25"/>
        <v>3.3159869296865545</v>
      </c>
      <c r="L84" s="143">
        <f t="shared" si="25"/>
        <v>2.5588659298414225</v>
      </c>
      <c r="M84" s="167">
        <f t="shared" si="25"/>
        <v>2.2272781702790083</v>
      </c>
      <c r="N84" s="181">
        <f>SQRT(AVERAGE(K84^2,L84^2,M84^2))</f>
        <v>2.7388764248962065</v>
      </c>
    </row>
    <row r="85" spans="1:16">
      <c r="A85" s="24" t="s">
        <v>10</v>
      </c>
      <c r="B85" s="24" t="s">
        <v>176</v>
      </c>
      <c r="C85" s="16">
        <v>0.85</v>
      </c>
      <c r="D85" s="45">
        <v>0.94</v>
      </c>
      <c r="E85" s="16">
        <v>0.78</v>
      </c>
      <c r="F85" s="45">
        <v>0.79</v>
      </c>
      <c r="G85" s="45">
        <v>0.85</v>
      </c>
      <c r="H85" s="33">
        <f>100*(G85-C85)/C85</f>
        <v>0</v>
      </c>
      <c r="J85" s="125">
        <v>0.82</v>
      </c>
      <c r="K85" s="175">
        <f t="shared" si="25"/>
        <v>-3.5294117647058858</v>
      </c>
      <c r="L85" s="143">
        <f t="shared" si="25"/>
        <v>-12.765957446808512</v>
      </c>
      <c r="M85" s="167">
        <f t="shared" si="25"/>
        <v>5.128205128205118</v>
      </c>
      <c r="N85" s="181">
        <f>SQRT(AVERAGE(K85^2,L85^2,M85^2))</f>
        <v>8.2000996899533547</v>
      </c>
    </row>
    <row r="86" spans="1:16" ht="17" thickBot="1">
      <c r="A86" s="46" t="s">
        <v>93</v>
      </c>
      <c r="B86" s="46" t="s">
        <v>94</v>
      </c>
      <c r="C86" s="9">
        <v>2.96</v>
      </c>
      <c r="D86" s="47">
        <v>2.88</v>
      </c>
      <c r="E86" s="9">
        <v>3.08</v>
      </c>
      <c r="F86" s="47">
        <v>2.98</v>
      </c>
      <c r="G86" s="110">
        <v>2.67</v>
      </c>
      <c r="H86" s="118">
        <f>100*(G86-C86)/C86</f>
        <v>-9.7972972972972983</v>
      </c>
      <c r="J86" s="129">
        <v>2.988</v>
      </c>
      <c r="K86" s="174">
        <f t="shared" si="25"/>
        <v>0.94594594594594683</v>
      </c>
      <c r="L86" s="144">
        <f t="shared" si="25"/>
        <v>3.7500000000000036</v>
      </c>
      <c r="M86" s="170">
        <f t="shared" si="25"/>
        <v>-2.9870129870129896</v>
      </c>
    </row>
    <row r="87" spans="1:16" ht="17" thickBot="1">
      <c r="A87" s="24"/>
      <c r="B87" s="24"/>
      <c r="C87" s="8"/>
      <c r="D87" s="25"/>
      <c r="E87" s="8"/>
      <c r="F87" s="25"/>
      <c r="G87" s="109"/>
      <c r="H87" s="176"/>
      <c r="J87" s="125"/>
      <c r="K87" s="177">
        <f>SQRT(AVERAGE(K80^2,K81^2,K82^2,K83^2,K84^2,K85^2,K86^2))</f>
        <v>4.6965726514512678</v>
      </c>
      <c r="L87" s="177">
        <f t="shared" ref="L87" si="26">SQRT(AVERAGE(L80^2,L81^2,L82^2,L83^2,L84^2,L85^2,L86^2))</f>
        <v>8.1212012471281518</v>
      </c>
      <c r="M87" s="178">
        <f t="shared" ref="M87" si="27">SQRT(AVERAGE(M80^2,M81^2,M82^2,M83^2,M84^2,M85^2,M86^2))</f>
        <v>5.5349922757829226</v>
      </c>
    </row>
    <row r="88" spans="1:16">
      <c r="A88" s="20" t="s">
        <v>25</v>
      </c>
      <c r="B88" s="20" t="s">
        <v>35</v>
      </c>
      <c r="C88" s="21">
        <v>0.18</v>
      </c>
      <c r="D88" s="22">
        <v>0.14000000000000001</v>
      </c>
      <c r="E88" s="21">
        <v>0.2</v>
      </c>
      <c r="F88" s="22">
        <v>0.15</v>
      </c>
      <c r="G88" s="22">
        <v>0.11</v>
      </c>
      <c r="H88" s="23">
        <f t="shared" si="22"/>
        <v>-38.888888888888886</v>
      </c>
      <c r="J88" s="125">
        <v>0.13500000000000001</v>
      </c>
      <c r="K88" s="175">
        <f t="shared" si="24"/>
        <v>-24.999999999999989</v>
      </c>
      <c r="L88" s="143">
        <f t="shared" si="23"/>
        <v>-3.5714285714285743</v>
      </c>
      <c r="M88" s="167">
        <f t="shared" si="23"/>
        <v>-32.5</v>
      </c>
      <c r="N88" s="179">
        <f t="shared" ref="N88" si="28">K88^2</f>
        <v>624.99999999999943</v>
      </c>
      <c r="O88" s="179">
        <f t="shared" ref="O88" si="29">L88^2</f>
        <v>12.755102040816347</v>
      </c>
      <c r="P88" s="179">
        <f t="shared" ref="P88" si="30">M88^2</f>
        <v>1056.25</v>
      </c>
    </row>
    <row r="89" spans="1:16">
      <c r="A89" s="24" t="s">
        <v>25</v>
      </c>
      <c r="B89" s="24" t="s">
        <v>95</v>
      </c>
      <c r="C89" s="8">
        <v>0.09</v>
      </c>
      <c r="D89" s="25">
        <v>0.17</v>
      </c>
      <c r="E89" s="8">
        <v>0.14000000000000001</v>
      </c>
      <c r="F89" s="25">
        <v>0.16</v>
      </c>
      <c r="G89" s="25">
        <v>0.02</v>
      </c>
      <c r="H89" s="44">
        <f t="shared" si="22"/>
        <v>-77.777777777777771</v>
      </c>
      <c r="J89" s="125">
        <v>3.0000000000000001E-3</v>
      </c>
      <c r="K89" s="175">
        <f t="shared" si="24"/>
        <v>-96.666666666666657</v>
      </c>
      <c r="L89" s="143">
        <f t="shared" si="23"/>
        <v>-98.235294117647044</v>
      </c>
      <c r="M89" s="167">
        <f t="shared" si="23"/>
        <v>-97.857142857142861</v>
      </c>
      <c r="N89" s="179"/>
      <c r="O89" s="179"/>
      <c r="P89" s="179"/>
    </row>
    <row r="90" spans="1:16">
      <c r="A90" s="26" t="s">
        <v>26</v>
      </c>
      <c r="B90" s="26" t="s">
        <v>36</v>
      </c>
      <c r="C90" s="27">
        <v>0.17</v>
      </c>
      <c r="D90" s="28">
        <v>0.22</v>
      </c>
      <c r="E90" s="27">
        <v>0.17</v>
      </c>
      <c r="F90" s="28">
        <v>0.15</v>
      </c>
      <c r="G90" s="28">
        <v>0.14000000000000001</v>
      </c>
      <c r="H90" s="28">
        <f t="shared" si="22"/>
        <v>-17.647058823529409</v>
      </c>
      <c r="J90" s="126">
        <v>0.23799999999999999</v>
      </c>
      <c r="K90" s="175">
        <f t="shared" si="24"/>
        <v>39.999999999999986</v>
      </c>
      <c r="L90" s="143">
        <f t="shared" si="23"/>
        <v>8.1818181818181763</v>
      </c>
      <c r="M90" s="167">
        <f t="shared" si="23"/>
        <v>39.999999999999986</v>
      </c>
      <c r="N90" s="179">
        <f t="shared" ref="N90:N101" si="31">K90^2</f>
        <v>1599.9999999999989</v>
      </c>
      <c r="O90" s="179">
        <f t="shared" ref="O90:O101" si="32">L90^2</f>
        <v>66.942148760330483</v>
      </c>
      <c r="P90" s="179">
        <f t="shared" ref="P90:P101" si="33">M90^2</f>
        <v>1599.9999999999989</v>
      </c>
    </row>
    <row r="91" spans="1:16">
      <c r="A91" s="20" t="s">
        <v>27</v>
      </c>
      <c r="B91" s="20" t="s">
        <v>13</v>
      </c>
      <c r="C91" s="21">
        <v>0.87</v>
      </c>
      <c r="D91" s="22">
        <v>0.57999999999999996</v>
      </c>
      <c r="E91" s="21">
        <v>0.94</v>
      </c>
      <c r="F91" s="22">
        <v>0.9</v>
      </c>
      <c r="G91" s="22">
        <v>0.82</v>
      </c>
      <c r="H91" s="30">
        <f t="shared" si="22"/>
        <v>-5.7471264367816142</v>
      </c>
      <c r="J91" s="127">
        <v>0.75600000000000001</v>
      </c>
      <c r="K91" s="175">
        <f t="shared" si="24"/>
        <v>-13.103448275862068</v>
      </c>
      <c r="L91" s="143">
        <f t="shared" si="23"/>
        <v>30.344827586206907</v>
      </c>
      <c r="M91" s="167">
        <f t="shared" si="23"/>
        <v>-19.574468085106378</v>
      </c>
      <c r="N91" s="179">
        <f t="shared" si="31"/>
        <v>171.70035671819258</v>
      </c>
      <c r="O91" s="179">
        <f t="shared" si="32"/>
        <v>920.80856123662375</v>
      </c>
      <c r="P91" s="179">
        <f t="shared" si="33"/>
        <v>383.15980081484815</v>
      </c>
    </row>
    <row r="92" spans="1:16">
      <c r="A92" s="26" t="s">
        <v>28</v>
      </c>
      <c r="B92" s="26" t="s">
        <v>38</v>
      </c>
      <c r="C92" s="27">
        <v>3.1E-2</v>
      </c>
      <c r="D92" s="28">
        <v>3.5000000000000003E-2</v>
      </c>
      <c r="E92" s="27">
        <v>3.3000000000000002E-2</v>
      </c>
      <c r="F92" s="28">
        <v>3.2000000000000001E-2</v>
      </c>
      <c r="G92" s="28">
        <v>3.2000000000000001E-2</v>
      </c>
      <c r="H92" s="39">
        <f t="shared" si="22"/>
        <v>3.2258064516129061</v>
      </c>
      <c r="J92" s="126">
        <v>3.5000000000000003E-2</v>
      </c>
      <c r="K92" s="175">
        <f t="shared" si="24"/>
        <v>12.903225806451625</v>
      </c>
      <c r="L92" s="143">
        <f t="shared" si="23"/>
        <v>0</v>
      </c>
      <c r="M92" s="167">
        <f t="shared" si="23"/>
        <v>6.0606060606060659</v>
      </c>
      <c r="N92" s="179">
        <f t="shared" si="31"/>
        <v>166.49323621227919</v>
      </c>
      <c r="O92" s="179">
        <f t="shared" si="32"/>
        <v>0</v>
      </c>
      <c r="P92" s="179">
        <f t="shared" si="33"/>
        <v>36.730945821854974</v>
      </c>
    </row>
    <row r="93" spans="1:16">
      <c r="A93" s="20" t="s">
        <v>29</v>
      </c>
      <c r="B93" s="20" t="s">
        <v>96</v>
      </c>
      <c r="C93" s="21">
        <v>0.12</v>
      </c>
      <c r="D93" s="22">
        <v>0.1</v>
      </c>
      <c r="E93" s="21">
        <v>0.13</v>
      </c>
      <c r="F93" s="22">
        <v>0.12</v>
      </c>
      <c r="G93" s="22">
        <v>0.08</v>
      </c>
      <c r="H93" s="23">
        <f t="shared" si="22"/>
        <v>-33.333333333333329</v>
      </c>
      <c r="J93" s="127">
        <v>0.106</v>
      </c>
      <c r="K93" s="175">
        <f t="shared" si="24"/>
        <v>-11.666666666666666</v>
      </c>
      <c r="L93" s="143">
        <f t="shared" si="23"/>
        <v>5.999999999999992</v>
      </c>
      <c r="M93" s="167">
        <f t="shared" si="23"/>
        <v>-18.461538461538467</v>
      </c>
      <c r="N93" s="179">
        <f t="shared" si="31"/>
        <v>136.11111111111109</v>
      </c>
      <c r="O93" s="179">
        <f t="shared" si="32"/>
        <v>35.999999999999908</v>
      </c>
      <c r="P93" s="179">
        <f t="shared" si="33"/>
        <v>340.82840236686411</v>
      </c>
    </row>
    <row r="94" spans="1:16">
      <c r="A94" s="24" t="s">
        <v>29</v>
      </c>
      <c r="B94" s="24" t="s">
        <v>14</v>
      </c>
      <c r="C94" s="8">
        <v>0.88</v>
      </c>
      <c r="D94" s="25">
        <v>0.73</v>
      </c>
      <c r="E94" s="8">
        <v>0.98</v>
      </c>
      <c r="F94" s="25">
        <v>0.86</v>
      </c>
      <c r="G94" s="25">
        <v>0.73</v>
      </c>
      <c r="H94" s="25">
        <f t="shared" si="22"/>
        <v>-17.045454545454547</v>
      </c>
      <c r="J94" s="125">
        <v>0.8</v>
      </c>
      <c r="K94" s="175">
        <f t="shared" si="24"/>
        <v>-9.0909090909090864</v>
      </c>
      <c r="L94" s="143">
        <f t="shared" si="23"/>
        <v>9.5890410958904191</v>
      </c>
      <c r="M94" s="167">
        <f t="shared" si="23"/>
        <v>-18.367346938775505</v>
      </c>
      <c r="N94" s="179">
        <f t="shared" si="31"/>
        <v>82.644628099173474</v>
      </c>
      <c r="O94" s="179">
        <f t="shared" si="32"/>
        <v>91.949709138675331</v>
      </c>
      <c r="P94" s="179">
        <f t="shared" si="33"/>
        <v>337.35943356934592</v>
      </c>
    </row>
    <row r="95" spans="1:16">
      <c r="A95" s="24" t="s">
        <v>30</v>
      </c>
      <c r="B95" s="24" t="s">
        <v>39</v>
      </c>
      <c r="C95" s="8">
        <v>0.28999999999999998</v>
      </c>
      <c r="D95" s="25">
        <v>0.31</v>
      </c>
      <c r="E95" s="8">
        <v>0.28999999999999998</v>
      </c>
      <c r="F95" s="25">
        <v>0.28000000000000003</v>
      </c>
      <c r="G95" s="25">
        <v>0.28000000000000003</v>
      </c>
      <c r="H95" s="33">
        <f t="shared" si="22"/>
        <v>-3.4482758620689498</v>
      </c>
      <c r="J95" s="125">
        <v>0.30599999999999999</v>
      </c>
      <c r="K95" s="175">
        <f t="shared" si="24"/>
        <v>5.5172413793103505</v>
      </c>
      <c r="L95" s="143">
        <f t="shared" si="23"/>
        <v>-1.2903225806451624</v>
      </c>
      <c r="M95" s="167">
        <f t="shared" si="23"/>
        <v>5.5172413793103505</v>
      </c>
      <c r="N95" s="179">
        <f t="shared" si="31"/>
        <v>30.43995243757438</v>
      </c>
      <c r="O95" s="179">
        <f t="shared" si="32"/>
        <v>1.6649323621227916</v>
      </c>
      <c r="P95" s="179">
        <f t="shared" si="33"/>
        <v>30.43995243757438</v>
      </c>
    </row>
    <row r="96" spans="1:16">
      <c r="A96" s="26" t="s">
        <v>30</v>
      </c>
      <c r="B96" s="26" t="s">
        <v>41</v>
      </c>
      <c r="C96" s="27">
        <v>4.13</v>
      </c>
      <c r="D96" s="28">
        <v>4.74</v>
      </c>
      <c r="E96" s="27">
        <v>3.9</v>
      </c>
      <c r="F96" s="28">
        <v>3.9</v>
      </c>
      <c r="G96" s="28">
        <v>4.16</v>
      </c>
      <c r="H96" s="39">
        <f t="shared" si="22"/>
        <v>0.72639225181598666</v>
      </c>
      <c r="J96" s="126">
        <v>5.3760000000000003</v>
      </c>
      <c r="K96" s="175">
        <f t="shared" si="24"/>
        <v>30.169491525423741</v>
      </c>
      <c r="L96" s="143">
        <f t="shared" si="23"/>
        <v>13.417721518987342</v>
      </c>
      <c r="M96" s="167">
        <f t="shared" si="23"/>
        <v>37.846153846153861</v>
      </c>
      <c r="N96" s="179">
        <f t="shared" si="31"/>
        <v>910.19821890261494</v>
      </c>
      <c r="O96" s="179">
        <f t="shared" si="32"/>
        <v>180.03525076109599</v>
      </c>
      <c r="P96" s="179">
        <f t="shared" si="33"/>
        <v>1432.3313609467466</v>
      </c>
    </row>
    <row r="97" spans="1:16">
      <c r="A97" s="20" t="s">
        <v>4</v>
      </c>
      <c r="B97" s="20" t="s">
        <v>15</v>
      </c>
      <c r="C97" s="21">
        <v>0.36</v>
      </c>
      <c r="D97" s="22">
        <v>0.32</v>
      </c>
      <c r="E97" s="21">
        <v>0.33</v>
      </c>
      <c r="F97" s="22">
        <v>0.33</v>
      </c>
      <c r="G97" s="22">
        <v>0.37</v>
      </c>
      <c r="H97" s="30">
        <f t="shared" si="22"/>
        <v>2.7777777777777803</v>
      </c>
      <c r="J97" s="127">
        <v>0.34599999999999997</v>
      </c>
      <c r="K97" s="175">
        <f t="shared" si="24"/>
        <v>-3.8888888888888924</v>
      </c>
      <c r="L97" s="143">
        <f t="shared" si="23"/>
        <v>8.1249999999999911</v>
      </c>
      <c r="M97" s="167">
        <f t="shared" si="23"/>
        <v>4.8484848484848362</v>
      </c>
      <c r="N97" s="179">
        <f t="shared" si="31"/>
        <v>15.123456790123484</v>
      </c>
      <c r="O97" s="179">
        <f t="shared" si="32"/>
        <v>66.015624999999858</v>
      </c>
      <c r="P97" s="179">
        <f t="shared" si="33"/>
        <v>23.507805325987025</v>
      </c>
    </row>
    <row r="98" spans="1:16">
      <c r="A98" s="24" t="s">
        <v>31</v>
      </c>
      <c r="B98" s="24" t="s">
        <v>42</v>
      </c>
      <c r="C98" s="8">
        <v>0.98</v>
      </c>
      <c r="D98" s="25">
        <v>1.24</v>
      </c>
      <c r="E98" s="8">
        <v>1.07</v>
      </c>
      <c r="F98" s="25">
        <v>1.04</v>
      </c>
      <c r="G98" s="25">
        <v>0.92</v>
      </c>
      <c r="H98" s="33">
        <f t="shared" si="22"/>
        <v>-6.1224489795918311</v>
      </c>
      <c r="J98" s="125">
        <v>0.749</v>
      </c>
      <c r="K98" s="175">
        <f t="shared" si="24"/>
        <v>-23.571428571428569</v>
      </c>
      <c r="L98" s="143">
        <f t="shared" si="23"/>
        <v>-39.596774193548391</v>
      </c>
      <c r="M98" s="167">
        <f t="shared" si="23"/>
        <v>-30.000000000000007</v>
      </c>
      <c r="N98" s="179">
        <f t="shared" si="31"/>
        <v>555.61224489795904</v>
      </c>
      <c r="O98" s="179">
        <f t="shared" si="32"/>
        <v>1567.9045265348598</v>
      </c>
      <c r="P98" s="179">
        <f t="shared" si="33"/>
        <v>900.00000000000045</v>
      </c>
    </row>
    <row r="99" spans="1:16">
      <c r="A99" s="26" t="s">
        <v>31</v>
      </c>
      <c r="B99" s="26" t="s">
        <v>43</v>
      </c>
      <c r="C99" s="27">
        <v>0.33</v>
      </c>
      <c r="D99" s="28">
        <v>0.48</v>
      </c>
      <c r="E99" s="27">
        <v>0.32</v>
      </c>
      <c r="F99" s="28">
        <v>0.26</v>
      </c>
      <c r="G99" s="28">
        <v>0.31</v>
      </c>
      <c r="H99" s="39">
        <f t="shared" si="22"/>
        <v>-6.0606060606060659</v>
      </c>
      <c r="J99" s="126">
        <v>0.318</v>
      </c>
      <c r="K99" s="175">
        <f t="shared" si="24"/>
        <v>-3.6363636363636394</v>
      </c>
      <c r="L99" s="143">
        <f t="shared" si="23"/>
        <v>-33.75</v>
      </c>
      <c r="M99" s="167">
        <f t="shared" si="23"/>
        <v>-0.62500000000000056</v>
      </c>
      <c r="N99" s="179">
        <f t="shared" si="31"/>
        <v>13.22314049586779</v>
      </c>
      <c r="O99" s="179">
        <f t="shared" si="32"/>
        <v>1139.0625</v>
      </c>
      <c r="P99" s="179">
        <f t="shared" si="33"/>
        <v>0.39062500000000072</v>
      </c>
    </row>
    <row r="100" spans="1:16">
      <c r="A100" s="20" t="s">
        <v>6</v>
      </c>
      <c r="B100" s="20" t="s">
        <v>17</v>
      </c>
      <c r="C100" s="21">
        <v>0.35</v>
      </c>
      <c r="D100" s="22">
        <v>0.31</v>
      </c>
      <c r="E100" s="21">
        <v>0.34</v>
      </c>
      <c r="F100" s="22">
        <v>0.33</v>
      </c>
      <c r="G100" s="22">
        <v>0.34</v>
      </c>
      <c r="H100" s="30">
        <f t="shared" si="22"/>
        <v>-2.8571428571428439</v>
      </c>
      <c r="J100" s="127">
        <v>0.313</v>
      </c>
      <c r="K100" s="175">
        <f t="shared" si="24"/>
        <v>-10.571428571428566</v>
      </c>
      <c r="L100" s="143">
        <f t="shared" si="23"/>
        <v>0.96774193548387188</v>
      </c>
      <c r="M100" s="167">
        <f t="shared" si="23"/>
        <v>-7.9411764705882417</v>
      </c>
      <c r="N100" s="179">
        <f t="shared" si="31"/>
        <v>111.75510204081621</v>
      </c>
      <c r="O100" s="179">
        <f t="shared" si="32"/>
        <v>0.93652445369407045</v>
      </c>
      <c r="P100" s="179">
        <f t="shared" si="33"/>
        <v>63.062283737024323</v>
      </c>
    </row>
    <row r="101" spans="1:16">
      <c r="A101" s="24" t="s">
        <v>6</v>
      </c>
      <c r="B101" s="24" t="s">
        <v>19</v>
      </c>
      <c r="C101" s="8">
        <v>1.53</v>
      </c>
      <c r="D101" s="25">
        <v>1.41</v>
      </c>
      <c r="E101" s="8">
        <v>1.46</v>
      </c>
      <c r="F101" s="25">
        <v>1.42</v>
      </c>
      <c r="G101" s="25">
        <v>1.42</v>
      </c>
      <c r="H101" s="33">
        <f t="shared" si="22"/>
        <v>-7.1895424836601372</v>
      </c>
      <c r="J101" s="125">
        <v>1.4790000000000001</v>
      </c>
      <c r="K101" s="175">
        <f t="shared" si="24"/>
        <v>-3.333333333333329</v>
      </c>
      <c r="L101" s="143">
        <f t="shared" si="23"/>
        <v>4.8936170212766079</v>
      </c>
      <c r="M101" s="167">
        <f t="shared" si="23"/>
        <v>1.3013698630137074</v>
      </c>
      <c r="N101" s="179">
        <f t="shared" si="31"/>
        <v>11.111111111111082</v>
      </c>
      <c r="O101" s="179">
        <f t="shared" si="32"/>
        <v>23.947487550928141</v>
      </c>
      <c r="P101" s="179">
        <f t="shared" si="33"/>
        <v>1.6935635203603154</v>
      </c>
    </row>
    <row r="102" spans="1:16">
      <c r="A102" s="26" t="s">
        <v>33</v>
      </c>
      <c r="B102" s="26" t="s">
        <v>44</v>
      </c>
      <c r="C102" s="27">
        <v>0.46</v>
      </c>
      <c r="D102" s="28">
        <v>0.54</v>
      </c>
      <c r="E102" s="27">
        <v>0.52</v>
      </c>
      <c r="F102" s="28">
        <v>0.53</v>
      </c>
      <c r="G102" s="28">
        <v>0.5</v>
      </c>
      <c r="H102" s="39">
        <f t="shared" si="22"/>
        <v>8.6956521739130395</v>
      </c>
      <c r="J102" s="125">
        <v>0.21299999999999999</v>
      </c>
      <c r="K102" s="175">
        <f t="shared" si="24"/>
        <v>-53.695652173913047</v>
      </c>
      <c r="L102" s="143">
        <f t="shared" ref="L102" si="34">100*($J102-D102)/D102</f>
        <v>-60.555555555555571</v>
      </c>
      <c r="M102" s="167">
        <f t="shared" ref="M102" si="35">100*($J102-E102)/E102</f>
        <v>-59.038461538461547</v>
      </c>
      <c r="N102" s="179"/>
      <c r="O102" s="179"/>
      <c r="P102" s="179"/>
    </row>
    <row r="103" spans="1:16">
      <c r="A103" s="24"/>
      <c r="B103" s="24"/>
      <c r="C103" s="8"/>
      <c r="D103" s="25"/>
      <c r="E103" s="8"/>
      <c r="F103" s="25"/>
      <c r="G103" s="25"/>
      <c r="H103" s="33"/>
      <c r="J103" s="125"/>
      <c r="K103" s="142">
        <f>SQRT(AVERAGE(N88:N102))</f>
        <v>18.458711845248285</v>
      </c>
      <c r="L103" s="142">
        <f t="shared" ref="L103" si="36">SQRT(AVERAGE(O88:O102))</f>
        <v>17.776437230306055</v>
      </c>
      <c r="M103" s="142">
        <f t="shared" ref="M103" si="37">SQRT(AVERAGE(P88:P102))</f>
        <v>21.848700319629305</v>
      </c>
    </row>
    <row r="104" spans="1:16">
      <c r="J104" s="159" t="s">
        <v>204</v>
      </c>
      <c r="K104" s="122">
        <f>COUNTIF(K80:K102,"&gt;=-10")-COUNTIF(K80:K102,"&gt;10")</f>
        <v>13</v>
      </c>
      <c r="L104" s="122">
        <f>COUNTIF(L80:L102,"&gt;=-10")-COUNTIF(L80:L102,"&gt;10")</f>
        <v>15</v>
      </c>
      <c r="M104" s="122">
        <f>COUNTIF(M80:M102,"&gt;=-10")-COUNTIF(M80:M102,"&gt;10")</f>
        <v>13</v>
      </c>
    </row>
    <row r="105" spans="1:16">
      <c r="J105" s="160" t="s">
        <v>205</v>
      </c>
      <c r="K105" s="123">
        <f>COUNTIF(K80:K102,"&gt;=-20")-COUNTIF(K80:K102,"&gt;20")</f>
        <v>17</v>
      </c>
      <c r="L105" s="123">
        <f>COUNTIF(L80:L102,"&gt;=-20")-COUNTIF(L80:L102,"&gt;20")</f>
        <v>18</v>
      </c>
      <c r="M105" s="123">
        <f>COUNTIF(M80:M102,"&gt;=-20")-COUNTIF(M80:M102,"&gt;20")</f>
        <v>17</v>
      </c>
    </row>
    <row r="106" spans="1:16" ht="17" thickBot="1">
      <c r="J106" s="161" t="s">
        <v>190</v>
      </c>
      <c r="K106" s="124">
        <f>COUNTIF(K80:K102,"&lt;-50")+COUNTIF(K80:K102,"&gt;50")</f>
        <v>2</v>
      </c>
      <c r="L106" s="124">
        <f>COUNTIF(L80:L102,"&lt;-50")+COUNTIF(L80:L102,"&gt;50")</f>
        <v>2</v>
      </c>
      <c r="M106" s="124">
        <f>COUNTIF(M80:M102,"&lt;-50")+COUNTIF(M80:M102,"&gt;50")</f>
        <v>2</v>
      </c>
    </row>
    <row r="107" spans="1:16">
      <c r="K107" s="140"/>
      <c r="L107" s="140"/>
    </row>
    <row r="108" spans="1:16" ht="17" thickBot="1">
      <c r="A108" s="14"/>
      <c r="B108" s="14"/>
      <c r="C108" s="7"/>
      <c r="D108" s="6" t="s">
        <v>181</v>
      </c>
      <c r="E108" s="6" t="s">
        <v>182</v>
      </c>
      <c r="F108" s="6" t="s">
        <v>183</v>
      </c>
      <c r="G108" s="6" t="s">
        <v>184</v>
      </c>
      <c r="H108" s="17" t="s">
        <v>186</v>
      </c>
      <c r="K108" s="140" t="s">
        <v>186</v>
      </c>
      <c r="L108" s="140" t="s">
        <v>186</v>
      </c>
    </row>
    <row r="109" spans="1:16" ht="33" thickBot="1">
      <c r="A109" s="58" t="s">
        <v>97</v>
      </c>
      <c r="B109" s="53" t="s">
        <v>180</v>
      </c>
      <c r="C109" s="57" t="s">
        <v>196</v>
      </c>
      <c r="D109" s="54" t="s">
        <v>22</v>
      </c>
      <c r="E109" s="54" t="s">
        <v>23</v>
      </c>
      <c r="F109" s="54" t="s">
        <v>89</v>
      </c>
      <c r="G109" s="54" t="s">
        <v>185</v>
      </c>
      <c r="H109" s="57" t="s">
        <v>193</v>
      </c>
      <c r="J109" s="155" t="s">
        <v>206</v>
      </c>
      <c r="K109" s="148" t="s">
        <v>207</v>
      </c>
      <c r="L109" s="148" t="s">
        <v>208</v>
      </c>
      <c r="M109" s="148" t="s">
        <v>209</v>
      </c>
    </row>
    <row r="110" spans="1:16">
      <c r="A110" s="10" t="s">
        <v>123</v>
      </c>
      <c r="B110" s="11" t="s">
        <v>130</v>
      </c>
      <c r="C110" s="8">
        <v>2.5299999999999998</v>
      </c>
      <c r="D110" s="8">
        <v>2.63</v>
      </c>
      <c r="E110" s="8">
        <v>2.68</v>
      </c>
      <c r="F110" s="8">
        <v>2.68</v>
      </c>
      <c r="G110" s="109">
        <v>2.2999999999999998</v>
      </c>
      <c r="H110" s="83">
        <f t="shared" ref="H110:H149" si="38">100*(G110-C110)/C110</f>
        <v>-9.0909090909090917</v>
      </c>
      <c r="J110" s="156">
        <v>2.5299999999999998</v>
      </c>
      <c r="K110" s="131">
        <f>100*($J110-C110)/C110</f>
        <v>0</v>
      </c>
      <c r="L110" s="150">
        <f t="shared" ref="L110:M131" si="39">100*($J110-D110)/D110</f>
        <v>-3.8022813688212964</v>
      </c>
      <c r="M110" s="151">
        <f t="shared" si="39"/>
        <v>-5.5970149253731476</v>
      </c>
      <c r="N110" s="181">
        <f>SQRT(AVERAGE(K110^2,L110^2,M110^2))</f>
        <v>3.906572226497945</v>
      </c>
    </row>
    <row r="111" spans="1:16">
      <c r="A111" s="10" t="s">
        <v>24</v>
      </c>
      <c r="B111" s="11">
        <v>5876</v>
      </c>
      <c r="C111" s="8">
        <v>0.09</v>
      </c>
      <c r="D111" s="8">
        <v>0.11</v>
      </c>
      <c r="E111" s="8">
        <v>0.1</v>
      </c>
      <c r="F111" s="8">
        <v>0.11</v>
      </c>
      <c r="G111" s="8">
        <v>0.09</v>
      </c>
      <c r="H111" s="83">
        <f t="shared" si="38"/>
        <v>0</v>
      </c>
      <c r="J111" s="125">
        <v>9.4E-2</v>
      </c>
      <c r="K111" s="132">
        <f t="shared" ref="K111:K149" si="40">100*($J111-C111)/C111</f>
        <v>4.4444444444444482</v>
      </c>
      <c r="L111" s="142">
        <f t="shared" si="39"/>
        <v>-14.545454545454547</v>
      </c>
      <c r="M111" s="152">
        <f t="shared" si="39"/>
        <v>-6.0000000000000053</v>
      </c>
    </row>
    <row r="112" spans="1:16" ht="17" thickBot="1">
      <c r="A112" s="37" t="s">
        <v>98</v>
      </c>
      <c r="B112" s="38">
        <v>4686</v>
      </c>
      <c r="C112" s="27">
        <v>0.41</v>
      </c>
      <c r="D112" s="27">
        <v>0.32</v>
      </c>
      <c r="E112" s="27">
        <v>0.33</v>
      </c>
      <c r="F112" s="27">
        <v>0.32</v>
      </c>
      <c r="G112" s="27">
        <v>0.43</v>
      </c>
      <c r="H112" s="84">
        <f t="shared" si="38"/>
        <v>4.8780487804878092</v>
      </c>
      <c r="J112" s="129">
        <v>0.33200000000000002</v>
      </c>
      <c r="K112" s="133">
        <f t="shared" si="40"/>
        <v>-19.024390243902427</v>
      </c>
      <c r="L112" s="145">
        <f t="shared" si="39"/>
        <v>3.7500000000000031</v>
      </c>
      <c r="M112" s="153">
        <f t="shared" si="39"/>
        <v>0.60606060606060652</v>
      </c>
    </row>
    <row r="113" spans="1:16">
      <c r="A113" s="35" t="s">
        <v>121</v>
      </c>
      <c r="B113" s="36" t="s">
        <v>130</v>
      </c>
      <c r="C113" s="21">
        <v>132</v>
      </c>
      <c r="D113" s="21">
        <v>139</v>
      </c>
      <c r="E113" s="21">
        <v>136</v>
      </c>
      <c r="F113" s="21">
        <v>136</v>
      </c>
      <c r="G113" s="21">
        <v>130</v>
      </c>
      <c r="H113" s="88">
        <f>100*(G113-C113)/C113</f>
        <v>-1.5151515151515151</v>
      </c>
      <c r="J113" s="156">
        <v>142.31</v>
      </c>
      <c r="K113" s="131">
        <f t="shared" ref="K113:M117" si="41">100*($J113-C113)/C113</f>
        <v>7.8106060606060623</v>
      </c>
      <c r="L113" s="150">
        <f t="shared" si="41"/>
        <v>2.3812949640287786</v>
      </c>
      <c r="M113" s="151">
        <f t="shared" si="41"/>
        <v>4.6397058823529429</v>
      </c>
    </row>
    <row r="114" spans="1:16">
      <c r="A114" s="10" t="s">
        <v>8</v>
      </c>
      <c r="B114" s="11" t="s">
        <v>144</v>
      </c>
      <c r="C114" s="8">
        <v>1.8</v>
      </c>
      <c r="D114" s="8">
        <v>1.83</v>
      </c>
      <c r="E114" s="8">
        <v>1.78</v>
      </c>
      <c r="F114" s="8">
        <v>1.78</v>
      </c>
      <c r="G114" s="8">
        <v>1.95</v>
      </c>
      <c r="H114" s="83">
        <f>100*(G114-C114)/C114</f>
        <v>8.3333333333333286</v>
      </c>
      <c r="J114" s="125">
        <v>1.8420000000000001</v>
      </c>
      <c r="K114" s="132">
        <f t="shared" si="41"/>
        <v>2.3333333333333353</v>
      </c>
      <c r="L114" s="142">
        <f t="shared" si="41"/>
        <v>0.65573770491803329</v>
      </c>
      <c r="M114" s="152">
        <f t="shared" si="41"/>
        <v>3.4831460674157335</v>
      </c>
    </row>
    <row r="115" spans="1:16">
      <c r="A115" s="10" t="s">
        <v>9</v>
      </c>
      <c r="B115" s="11" t="s">
        <v>144</v>
      </c>
      <c r="C115" s="8">
        <v>1.26</v>
      </c>
      <c r="D115" s="8">
        <v>1.22</v>
      </c>
      <c r="E115" s="8">
        <v>1.21</v>
      </c>
      <c r="F115" s="8">
        <v>1.21</v>
      </c>
      <c r="G115" s="8">
        <v>1.29</v>
      </c>
      <c r="H115" s="83">
        <f>100*(G115-C115)/C115</f>
        <v>2.3809523809523832</v>
      </c>
      <c r="J115" s="125">
        <v>1.258</v>
      </c>
      <c r="K115" s="132">
        <f t="shared" si="41"/>
        <v>-0.15873015873015886</v>
      </c>
      <c r="L115" s="142">
        <f t="shared" si="41"/>
        <v>3.1147540983606588</v>
      </c>
      <c r="M115" s="152">
        <f t="shared" si="41"/>
        <v>3.9669421487603342</v>
      </c>
      <c r="N115" s="181">
        <f>SQRT(AVERAGE(K115^2,L115^2,M115^2))</f>
        <v>2.913389684894915</v>
      </c>
    </row>
    <row r="116" spans="1:16">
      <c r="A116" s="10" t="s">
        <v>10</v>
      </c>
      <c r="B116" s="11" t="s">
        <v>176</v>
      </c>
      <c r="C116" s="16">
        <v>0.69</v>
      </c>
      <c r="D116" s="16">
        <v>0.74</v>
      </c>
      <c r="E116" s="16">
        <v>0.74</v>
      </c>
      <c r="F116" s="16">
        <v>0.71</v>
      </c>
      <c r="G116" s="16">
        <v>0.6</v>
      </c>
      <c r="H116" s="95">
        <f>100*(G116-C116)/C116</f>
        <v>-13.043478260869561</v>
      </c>
      <c r="J116" s="125">
        <v>0.68700000000000006</v>
      </c>
      <c r="K116" s="132">
        <f t="shared" si="41"/>
        <v>-0.43478260869563651</v>
      </c>
      <c r="L116" s="142">
        <f t="shared" si="41"/>
        <v>-7.1621621621621534</v>
      </c>
      <c r="M116" s="152">
        <f t="shared" si="41"/>
        <v>-7.1621621621621534</v>
      </c>
      <c r="N116" s="181">
        <f>SQRT(AVERAGE(K116^2,L116^2,M116^2))</f>
        <v>5.8532660282113351</v>
      </c>
    </row>
    <row r="117" spans="1:16" ht="17" thickBot="1">
      <c r="A117" s="12" t="s">
        <v>150</v>
      </c>
      <c r="B117" s="13" t="s">
        <v>94</v>
      </c>
      <c r="C117" s="9">
        <v>4.0199999999999996</v>
      </c>
      <c r="D117" s="9">
        <v>4.04</v>
      </c>
      <c r="E117" s="9">
        <v>4.04</v>
      </c>
      <c r="F117" s="9">
        <v>4.07</v>
      </c>
      <c r="G117" s="110">
        <v>3.83</v>
      </c>
      <c r="H117" s="96">
        <f>100*(G117-C117)/C117</f>
        <v>-4.7263681592039681</v>
      </c>
      <c r="J117" s="129">
        <v>4.0259999999999998</v>
      </c>
      <c r="K117" s="133">
        <f t="shared" si="41"/>
        <v>0.14925373134328926</v>
      </c>
      <c r="L117" s="145">
        <f t="shared" si="41"/>
        <v>-0.34653465346535234</v>
      </c>
      <c r="M117" s="153">
        <f t="shared" si="41"/>
        <v>-0.34653465346535234</v>
      </c>
    </row>
    <row r="118" spans="1:16" ht="17" thickBot="1">
      <c r="A118" s="113"/>
      <c r="B118" s="11"/>
      <c r="C118" s="8"/>
      <c r="D118" s="8"/>
      <c r="E118" s="8"/>
      <c r="F118" s="8"/>
      <c r="G118" s="109"/>
      <c r="H118" s="83"/>
      <c r="J118" s="125"/>
      <c r="K118" s="177">
        <f>SQRT(AVERAGE(K110^2,K111^2,K112^2,K113^2,K114^2,K115^2,K116^2,K117^2))</f>
        <v>7.4863795481101727</v>
      </c>
      <c r="L118" s="177">
        <f t="shared" ref="L118:M118" si="42">SQRT(AVERAGE(L110^2,L111^2,L112^2,L113^2,L114^2,L115^2,L116^2,L117^2))</f>
        <v>6.1978725723160846</v>
      </c>
      <c r="M118" s="177">
        <f t="shared" si="42"/>
        <v>4.5894763569705503</v>
      </c>
    </row>
    <row r="119" spans="1:16">
      <c r="A119" s="20" t="s">
        <v>125</v>
      </c>
      <c r="B119" s="20" t="s">
        <v>35</v>
      </c>
      <c r="C119" s="21">
        <v>0.27</v>
      </c>
      <c r="D119" s="22">
        <v>0.33</v>
      </c>
      <c r="E119" s="21">
        <v>0.43</v>
      </c>
      <c r="F119" s="22">
        <v>0.3</v>
      </c>
      <c r="G119" s="22">
        <v>0.22</v>
      </c>
      <c r="H119" s="85">
        <f t="shared" si="38"/>
        <v>-18.518518518518523</v>
      </c>
      <c r="J119" s="156">
        <v>0.23</v>
      </c>
      <c r="K119" s="157">
        <f t="shared" si="40"/>
        <v>-14.814814814814817</v>
      </c>
      <c r="L119" s="150">
        <f t="shared" si="39"/>
        <v>-30.303030303030301</v>
      </c>
      <c r="M119" s="151">
        <f t="shared" si="39"/>
        <v>-46.511627906976742</v>
      </c>
      <c r="N119" s="179">
        <f>K119^2</f>
        <v>219.47873799725656</v>
      </c>
      <c r="O119" s="179">
        <f t="shared" ref="O119:P119" si="43">L119^2</f>
        <v>918.27364554637268</v>
      </c>
      <c r="P119" s="179">
        <f t="shared" si="43"/>
        <v>2163.3315305570577</v>
      </c>
    </row>
    <row r="120" spans="1:16">
      <c r="A120" s="24" t="s">
        <v>124</v>
      </c>
      <c r="B120" s="24" t="s">
        <v>36</v>
      </c>
      <c r="C120" s="8">
        <v>2.14</v>
      </c>
      <c r="D120" s="25">
        <v>1.82</v>
      </c>
      <c r="E120" s="8">
        <v>1.66</v>
      </c>
      <c r="F120" s="25">
        <v>1.87</v>
      </c>
      <c r="G120" s="25">
        <v>3.14</v>
      </c>
      <c r="H120" s="86">
        <f t="shared" si="38"/>
        <v>46.728971962616818</v>
      </c>
      <c r="J120" s="125">
        <v>2.5920000000000001</v>
      </c>
      <c r="K120" s="149">
        <f t="shared" si="40"/>
        <v>21.121495327102799</v>
      </c>
      <c r="L120" s="142">
        <f t="shared" si="39"/>
        <v>42.417582417582416</v>
      </c>
      <c r="M120" s="152">
        <f t="shared" si="39"/>
        <v>56.144578313253028</v>
      </c>
      <c r="N120" s="179">
        <f t="shared" ref="N120:N149" si="44">K120^2</f>
        <v>446.11756485282541</v>
      </c>
      <c r="O120" s="179">
        <f t="shared" ref="O120:O149" si="45">L120^2</f>
        <v>1799.2512981523969</v>
      </c>
      <c r="P120" s="179">
        <f t="shared" ref="P120:P149" si="46">M120^2</f>
        <v>3152.2136739730022</v>
      </c>
    </row>
    <row r="121" spans="1:16">
      <c r="A121" s="26" t="s">
        <v>100</v>
      </c>
      <c r="B121" s="26" t="s">
        <v>131</v>
      </c>
      <c r="C121" s="27">
        <v>2.5099999999999998</v>
      </c>
      <c r="D121" s="28">
        <v>2.44</v>
      </c>
      <c r="E121" s="27">
        <v>2.0499999999999998</v>
      </c>
      <c r="F121" s="28">
        <v>2.1800000000000002</v>
      </c>
      <c r="G121" s="28">
        <v>4.74</v>
      </c>
      <c r="H121" s="87">
        <f t="shared" si="38"/>
        <v>88.844621513944247</v>
      </c>
      <c r="J121" s="126">
        <v>2.9790000000000001</v>
      </c>
      <c r="K121" s="149">
        <f t="shared" si="40"/>
        <v>18.68525896414344</v>
      </c>
      <c r="L121" s="142">
        <f t="shared" si="39"/>
        <v>22.090163934426236</v>
      </c>
      <c r="M121" s="152">
        <f t="shared" si="39"/>
        <v>45.317073170731724</v>
      </c>
      <c r="N121" s="179">
        <f t="shared" si="44"/>
        <v>349.13890255710277</v>
      </c>
      <c r="O121" s="179">
        <f t="shared" si="45"/>
        <v>487.97534264982562</v>
      </c>
      <c r="P121" s="179">
        <f t="shared" si="46"/>
        <v>2053.6371207614529</v>
      </c>
    </row>
    <row r="122" spans="1:16">
      <c r="A122" s="20" t="s">
        <v>126</v>
      </c>
      <c r="B122" s="20" t="s">
        <v>13</v>
      </c>
      <c r="C122" s="21">
        <v>1.49</v>
      </c>
      <c r="D122" s="22">
        <v>1.59</v>
      </c>
      <c r="E122" s="21">
        <v>1.45</v>
      </c>
      <c r="F122" s="22">
        <v>1.44</v>
      </c>
      <c r="G122" s="22">
        <v>1.47</v>
      </c>
      <c r="H122" s="88">
        <f t="shared" si="38"/>
        <v>-1.342281879194632</v>
      </c>
      <c r="J122" s="127">
        <v>1.069</v>
      </c>
      <c r="K122" s="149">
        <f t="shared" si="40"/>
        <v>-28.255033557046982</v>
      </c>
      <c r="L122" s="142">
        <f t="shared" si="39"/>
        <v>-32.767295597484285</v>
      </c>
      <c r="M122" s="152">
        <f t="shared" si="39"/>
        <v>-26.27586206896552</v>
      </c>
      <c r="N122" s="179">
        <f t="shared" ref="N122" si="47">K122^2</f>
        <v>798.34692130985104</v>
      </c>
      <c r="O122" s="179">
        <f t="shared" ref="O122" si="48">L122^2</f>
        <v>1073.695660772913</v>
      </c>
      <c r="P122" s="179">
        <f t="shared" ref="P122" si="49">M122^2</f>
        <v>690.420927467301</v>
      </c>
    </row>
    <row r="123" spans="1:16">
      <c r="A123" s="24" t="s">
        <v>101</v>
      </c>
      <c r="B123" s="24" t="s">
        <v>132</v>
      </c>
      <c r="C123" s="8">
        <v>0.12</v>
      </c>
      <c r="D123" s="25">
        <v>0.13</v>
      </c>
      <c r="E123" s="8">
        <v>0.13</v>
      </c>
      <c r="F123" s="25">
        <v>0.13</v>
      </c>
      <c r="G123" s="25">
        <v>0.16</v>
      </c>
      <c r="H123" s="86">
        <f t="shared" si="38"/>
        <v>33.333333333333343</v>
      </c>
      <c r="J123" s="125">
        <v>0.128</v>
      </c>
      <c r="K123" s="149">
        <f t="shared" si="40"/>
        <v>6.6666666666666732</v>
      </c>
      <c r="L123" s="142">
        <f t="shared" si="39"/>
        <v>-1.5384615384615399</v>
      </c>
      <c r="M123" s="152">
        <f t="shared" si="39"/>
        <v>-1.5384615384615399</v>
      </c>
      <c r="N123" s="179">
        <f t="shared" si="44"/>
        <v>44.444444444444528</v>
      </c>
      <c r="O123" s="179">
        <f t="shared" si="45"/>
        <v>2.3668639053254483</v>
      </c>
      <c r="P123" s="179">
        <f t="shared" si="46"/>
        <v>2.3668639053254483</v>
      </c>
    </row>
    <row r="124" spans="1:16">
      <c r="A124" s="24" t="s">
        <v>102</v>
      </c>
      <c r="B124" s="24" t="s">
        <v>38</v>
      </c>
      <c r="C124" s="8">
        <v>0.13</v>
      </c>
      <c r="D124" s="25">
        <v>0.12</v>
      </c>
      <c r="E124" s="8">
        <v>0.13</v>
      </c>
      <c r="F124" s="25">
        <v>0.13</v>
      </c>
      <c r="G124" s="25">
        <v>0.13</v>
      </c>
      <c r="H124" s="83">
        <f t="shared" si="38"/>
        <v>0</v>
      </c>
      <c r="J124" s="125">
        <v>0.13800000000000001</v>
      </c>
      <c r="K124" s="149">
        <f t="shared" si="40"/>
        <v>6.1538461538461595</v>
      </c>
      <c r="L124" s="142">
        <f t="shared" si="39"/>
        <v>15.000000000000014</v>
      </c>
      <c r="M124" s="152">
        <f t="shared" si="39"/>
        <v>6.1538461538461595</v>
      </c>
      <c r="N124" s="179">
        <f t="shared" si="44"/>
        <v>37.869822485207173</v>
      </c>
      <c r="O124" s="179">
        <f t="shared" si="45"/>
        <v>225.00000000000043</v>
      </c>
      <c r="P124" s="179">
        <f t="shared" si="46"/>
        <v>37.869822485207173</v>
      </c>
    </row>
    <row r="125" spans="1:16">
      <c r="A125" s="24" t="s">
        <v>103</v>
      </c>
      <c r="B125" s="24" t="s">
        <v>133</v>
      </c>
      <c r="C125" s="8">
        <v>0.2</v>
      </c>
      <c r="D125" s="25">
        <v>0.2</v>
      </c>
      <c r="E125" s="8">
        <v>0.15</v>
      </c>
      <c r="F125" s="25">
        <v>0.19</v>
      </c>
      <c r="G125" s="25">
        <v>0.26</v>
      </c>
      <c r="H125" s="86">
        <f t="shared" si="38"/>
        <v>30</v>
      </c>
      <c r="J125" s="125">
        <v>0.29899999999999999</v>
      </c>
      <c r="K125" s="149">
        <f t="shared" si="40"/>
        <v>49.499999999999993</v>
      </c>
      <c r="L125" s="142">
        <f t="shared" si="39"/>
        <v>49.499999999999993</v>
      </c>
      <c r="M125" s="152">
        <f t="shared" si="39"/>
        <v>99.333333333333329</v>
      </c>
      <c r="N125" s="179"/>
      <c r="O125" s="179"/>
      <c r="P125" s="179"/>
    </row>
    <row r="126" spans="1:16">
      <c r="A126" s="26" t="s">
        <v>104</v>
      </c>
      <c r="B126" s="26" t="s">
        <v>134</v>
      </c>
      <c r="C126" s="27">
        <v>0.21</v>
      </c>
      <c r="D126" s="28">
        <v>0.18</v>
      </c>
      <c r="E126" s="27">
        <v>0.12</v>
      </c>
      <c r="F126" s="28">
        <v>0.15</v>
      </c>
      <c r="G126" s="28">
        <v>0.38</v>
      </c>
      <c r="H126" s="87">
        <f t="shared" si="38"/>
        <v>80.952380952380949</v>
      </c>
      <c r="J126" s="126">
        <v>0.17699999999999999</v>
      </c>
      <c r="K126" s="149">
        <f t="shared" si="40"/>
        <v>-15.714285714285715</v>
      </c>
      <c r="L126" s="142">
        <f t="shared" si="39"/>
        <v>-1.6666666666666683</v>
      </c>
      <c r="M126" s="152">
        <f t="shared" si="39"/>
        <v>47.499999999999993</v>
      </c>
      <c r="N126" s="179">
        <f t="shared" si="44"/>
        <v>246.93877551020412</v>
      </c>
      <c r="O126" s="179">
        <f t="shared" si="45"/>
        <v>2.777777777777783</v>
      </c>
      <c r="P126" s="179">
        <f t="shared" si="46"/>
        <v>2256.2499999999995</v>
      </c>
    </row>
    <row r="127" spans="1:16">
      <c r="A127" s="20" t="s">
        <v>105</v>
      </c>
      <c r="B127" s="20" t="s">
        <v>135</v>
      </c>
      <c r="C127" s="21">
        <v>0.14000000000000001</v>
      </c>
      <c r="D127" s="22">
        <v>0.15</v>
      </c>
      <c r="E127" s="21">
        <v>0.12</v>
      </c>
      <c r="F127" s="22">
        <v>0.14000000000000001</v>
      </c>
      <c r="G127" s="22">
        <v>0.16</v>
      </c>
      <c r="H127" s="85">
        <f t="shared" si="38"/>
        <v>14.285714285714278</v>
      </c>
      <c r="J127" s="127">
        <v>0.161</v>
      </c>
      <c r="K127" s="149">
        <f t="shared" si="40"/>
        <v>14.999999999999993</v>
      </c>
      <c r="L127" s="142">
        <f t="shared" si="39"/>
        <v>7.3333333333333401</v>
      </c>
      <c r="M127" s="152">
        <f t="shared" si="39"/>
        <v>34.166666666666671</v>
      </c>
      <c r="N127" s="179">
        <f t="shared" si="44"/>
        <v>224.9999999999998</v>
      </c>
      <c r="O127" s="179">
        <f t="shared" si="45"/>
        <v>53.777777777777878</v>
      </c>
      <c r="P127" s="179">
        <f t="shared" si="46"/>
        <v>1167.3611111111115</v>
      </c>
    </row>
    <row r="128" spans="1:16">
      <c r="A128" s="24" t="s">
        <v>106</v>
      </c>
      <c r="B128" s="24" t="s">
        <v>14</v>
      </c>
      <c r="C128" s="8">
        <v>2.2799999999999998</v>
      </c>
      <c r="D128" s="25">
        <v>2.23</v>
      </c>
      <c r="E128" s="8">
        <v>2.27</v>
      </c>
      <c r="F128" s="25">
        <v>2.1800000000000002</v>
      </c>
      <c r="G128" s="25">
        <v>2.5</v>
      </c>
      <c r="H128" s="83">
        <f t="shared" si="38"/>
        <v>9.6491228070175534</v>
      </c>
      <c r="J128" s="125">
        <v>2.375</v>
      </c>
      <c r="K128" s="149">
        <f t="shared" si="40"/>
        <v>4.1666666666666758</v>
      </c>
      <c r="L128" s="142">
        <f t="shared" si="39"/>
        <v>6.5022421524663683</v>
      </c>
      <c r="M128" s="152">
        <f t="shared" si="39"/>
        <v>4.6255506607929506</v>
      </c>
      <c r="N128" s="179">
        <f t="shared" si="44"/>
        <v>17.361111111111189</v>
      </c>
      <c r="O128" s="179">
        <f t="shared" si="45"/>
        <v>42.27915300931047</v>
      </c>
      <c r="P128" s="179">
        <f t="shared" si="46"/>
        <v>21.395718915562103</v>
      </c>
    </row>
    <row r="129" spans="1:16">
      <c r="A129" s="24" t="s">
        <v>107</v>
      </c>
      <c r="B129" s="24" t="s">
        <v>41</v>
      </c>
      <c r="C129" s="8">
        <v>20.7</v>
      </c>
      <c r="D129" s="25">
        <v>21.1</v>
      </c>
      <c r="E129" s="8">
        <v>21.4</v>
      </c>
      <c r="F129" s="25">
        <v>21.1</v>
      </c>
      <c r="G129" s="25">
        <v>20.2</v>
      </c>
      <c r="H129" s="83">
        <f t="shared" si="38"/>
        <v>-2.4154589371980677</v>
      </c>
      <c r="J129" s="125">
        <v>23.268000000000001</v>
      </c>
      <c r="K129" s="149">
        <f t="shared" si="40"/>
        <v>12.405797101449282</v>
      </c>
      <c r="L129" s="142">
        <f t="shared" si="39"/>
        <v>10.274881516587673</v>
      </c>
      <c r="M129" s="152">
        <f t="shared" si="39"/>
        <v>8.7289719626168321</v>
      </c>
      <c r="N129" s="179">
        <f t="shared" si="44"/>
        <v>153.90380172232742</v>
      </c>
      <c r="O129" s="179">
        <f t="shared" si="45"/>
        <v>105.57319017991499</v>
      </c>
      <c r="P129" s="179">
        <f t="shared" si="46"/>
        <v>76.194951524150753</v>
      </c>
    </row>
    <row r="130" spans="1:16">
      <c r="A130" s="24" t="s">
        <v>107</v>
      </c>
      <c r="B130" s="24">
        <v>4363</v>
      </c>
      <c r="C130" s="8">
        <v>0.16</v>
      </c>
      <c r="D130" s="25">
        <v>0.16</v>
      </c>
      <c r="E130" s="8">
        <v>0.16</v>
      </c>
      <c r="F130" s="25">
        <v>0.16</v>
      </c>
      <c r="G130" s="25">
        <v>0.16</v>
      </c>
      <c r="H130" s="83">
        <f t="shared" si="38"/>
        <v>0</v>
      </c>
      <c r="J130" s="125">
        <v>0.187</v>
      </c>
      <c r="K130" s="149">
        <f t="shared" si="40"/>
        <v>16.874999999999996</v>
      </c>
      <c r="L130" s="142">
        <f t="shared" si="39"/>
        <v>16.874999999999996</v>
      </c>
      <c r="M130" s="152">
        <f t="shared" si="39"/>
        <v>16.874999999999996</v>
      </c>
      <c r="N130" s="179">
        <f t="shared" ref="N130" si="50">K130^2</f>
        <v>284.76562499999989</v>
      </c>
      <c r="O130" s="179">
        <f t="shared" ref="O130" si="51">L130^2</f>
        <v>284.76562499999989</v>
      </c>
      <c r="P130" s="179">
        <f t="shared" ref="P130" si="52">M130^2</f>
        <v>284.76562499999989</v>
      </c>
    </row>
    <row r="131" spans="1:16">
      <c r="A131" s="24" t="s">
        <v>107</v>
      </c>
      <c r="B131" s="24" t="s">
        <v>145</v>
      </c>
      <c r="C131" s="8">
        <v>1.34</v>
      </c>
      <c r="D131" s="25">
        <v>1.42</v>
      </c>
      <c r="E131" s="8">
        <v>1.44</v>
      </c>
      <c r="F131" s="25">
        <v>1.46</v>
      </c>
      <c r="G131" s="25">
        <v>1.26</v>
      </c>
      <c r="H131" s="83">
        <f t="shared" si="38"/>
        <v>-5.9701492537313481</v>
      </c>
      <c r="J131" s="125">
        <v>1.3959999999999999</v>
      </c>
      <c r="K131" s="149">
        <f t="shared" si="40"/>
        <v>4.1791044776119275</v>
      </c>
      <c r="L131" s="142">
        <f t="shared" si="39"/>
        <v>-1.6901408450704241</v>
      </c>
      <c r="M131" s="152">
        <f t="shared" si="39"/>
        <v>-3.0555555555555585</v>
      </c>
      <c r="N131" s="179">
        <f t="shared" si="44"/>
        <v>17.464914234796062</v>
      </c>
      <c r="O131" s="179">
        <f t="shared" si="45"/>
        <v>2.8565760761753674</v>
      </c>
      <c r="P131" s="179">
        <f t="shared" si="46"/>
        <v>9.336419753086437</v>
      </c>
    </row>
    <row r="132" spans="1:16">
      <c r="A132" s="24" t="s">
        <v>108</v>
      </c>
      <c r="B132" s="24" t="s">
        <v>146</v>
      </c>
      <c r="C132" s="8">
        <v>3.92</v>
      </c>
      <c r="D132" s="25">
        <v>3.52</v>
      </c>
      <c r="E132" s="8">
        <v>3.98</v>
      </c>
      <c r="F132" s="25">
        <v>3.86</v>
      </c>
      <c r="G132" s="25">
        <v>5.01</v>
      </c>
      <c r="H132" s="86">
        <f t="shared" si="38"/>
        <v>27.80612244897959</v>
      </c>
      <c r="J132" s="125">
        <v>4.0170000000000003</v>
      </c>
      <c r="K132" s="149">
        <f t="shared" si="40"/>
        <v>2.474489795918378</v>
      </c>
      <c r="L132" s="142">
        <f t="shared" ref="L132:L149" si="53">100*($J132-D132)/D132</f>
        <v>14.119318181818191</v>
      </c>
      <c r="M132" s="152">
        <f t="shared" ref="M132:M149" si="54">100*($J132-E132)/E132</f>
        <v>0.92964824120603939</v>
      </c>
      <c r="N132" s="179">
        <f t="shared" si="44"/>
        <v>6.123099750104176</v>
      </c>
      <c r="O132" s="179">
        <f t="shared" si="45"/>
        <v>199.35514591942174</v>
      </c>
      <c r="P132" s="179">
        <f t="shared" si="46"/>
        <v>0.86424585237748242</v>
      </c>
    </row>
    <row r="133" spans="1:16">
      <c r="A133" s="24" t="s">
        <v>127</v>
      </c>
      <c r="B133" s="24" t="s">
        <v>136</v>
      </c>
      <c r="C133" s="8">
        <v>0.27</v>
      </c>
      <c r="D133" s="25">
        <v>0.2</v>
      </c>
      <c r="E133" s="8">
        <v>0.23</v>
      </c>
      <c r="F133" s="25">
        <v>0.33</v>
      </c>
      <c r="G133" s="25">
        <v>0.41</v>
      </c>
      <c r="H133" s="89">
        <f t="shared" si="38"/>
        <v>51.851851851851833</v>
      </c>
      <c r="J133" s="125">
        <v>0.25900000000000001</v>
      </c>
      <c r="K133" s="149">
        <f t="shared" si="40"/>
        <v>-4.0740740740740771</v>
      </c>
      <c r="L133" s="142">
        <f t="shared" si="53"/>
        <v>29.499999999999996</v>
      </c>
      <c r="M133" s="152">
        <f t="shared" si="54"/>
        <v>12.608695652173912</v>
      </c>
      <c r="N133" s="179">
        <f t="shared" si="44"/>
        <v>16.59807956104255</v>
      </c>
      <c r="O133" s="179">
        <f t="shared" si="45"/>
        <v>870.24999999999977</v>
      </c>
      <c r="P133" s="179">
        <f t="shared" si="46"/>
        <v>158.97920604914933</v>
      </c>
    </row>
    <row r="134" spans="1:16">
      <c r="A134" s="26" t="s">
        <v>128</v>
      </c>
      <c r="B134" s="26" t="s">
        <v>137</v>
      </c>
      <c r="C134" s="27">
        <v>0.24</v>
      </c>
      <c r="D134" s="28">
        <v>0.2</v>
      </c>
      <c r="E134" s="27">
        <v>0.11</v>
      </c>
      <c r="F134" s="28">
        <v>0.19</v>
      </c>
      <c r="G134" s="28">
        <v>0.33</v>
      </c>
      <c r="H134" s="90">
        <f t="shared" si="38"/>
        <v>37.500000000000007</v>
      </c>
      <c r="J134" s="126">
        <v>0.27400000000000002</v>
      </c>
      <c r="K134" s="149">
        <f t="shared" si="40"/>
        <v>14.16666666666668</v>
      </c>
      <c r="L134" s="142">
        <f t="shared" si="53"/>
        <v>37.000000000000007</v>
      </c>
      <c r="M134" s="152">
        <f t="shared" si="54"/>
        <v>149.09090909090912</v>
      </c>
      <c r="N134" s="179">
        <f t="shared" si="44"/>
        <v>200.69444444444483</v>
      </c>
      <c r="O134" s="179">
        <f t="shared" si="45"/>
        <v>1369.0000000000005</v>
      </c>
      <c r="P134" s="179">
        <f t="shared" si="46"/>
        <v>22228.099173553728</v>
      </c>
    </row>
    <row r="135" spans="1:16">
      <c r="A135" s="20" t="s">
        <v>129</v>
      </c>
      <c r="B135" s="20" t="s">
        <v>42</v>
      </c>
      <c r="C135" s="21">
        <v>2.4900000000000002</v>
      </c>
      <c r="D135" s="22">
        <v>2.75</v>
      </c>
      <c r="E135" s="21">
        <v>2.76</v>
      </c>
      <c r="F135" s="22">
        <v>2.81</v>
      </c>
      <c r="G135" s="22">
        <v>2.71</v>
      </c>
      <c r="H135" s="88">
        <f t="shared" si="38"/>
        <v>8.8353413654618365</v>
      </c>
      <c r="J135" s="127">
        <v>1.8620000000000001</v>
      </c>
      <c r="K135" s="149">
        <f t="shared" si="40"/>
        <v>-25.220883534136547</v>
      </c>
      <c r="L135" s="142">
        <f t="shared" si="53"/>
        <v>-32.290909090909082</v>
      </c>
      <c r="M135" s="152">
        <f t="shared" si="54"/>
        <v>-32.536231884057962</v>
      </c>
      <c r="N135" s="179">
        <f t="shared" si="44"/>
        <v>636.09296624247997</v>
      </c>
      <c r="O135" s="179">
        <f t="shared" si="45"/>
        <v>1042.7028099173549</v>
      </c>
      <c r="P135" s="179">
        <f t="shared" si="46"/>
        <v>1058.6063852131899</v>
      </c>
    </row>
    <row r="136" spans="1:16">
      <c r="A136" s="24" t="s">
        <v>129</v>
      </c>
      <c r="B136" s="24" t="s">
        <v>43</v>
      </c>
      <c r="C136" s="8">
        <v>2.63</v>
      </c>
      <c r="D136" s="25">
        <v>3.33</v>
      </c>
      <c r="E136" s="8">
        <v>2.27</v>
      </c>
      <c r="F136" s="25">
        <v>2.44</v>
      </c>
      <c r="G136" s="25">
        <v>3.35</v>
      </c>
      <c r="H136" s="86">
        <f t="shared" si="38"/>
        <v>27.376425855513315</v>
      </c>
      <c r="J136" s="125">
        <v>2.4180000000000001</v>
      </c>
      <c r="K136" s="149">
        <f t="shared" si="40"/>
        <v>-8.0608365019011305</v>
      </c>
      <c r="L136" s="142">
        <f t="shared" si="53"/>
        <v>-27.387387387387385</v>
      </c>
      <c r="M136" s="152">
        <f t="shared" si="54"/>
        <v>6.5198237885462609</v>
      </c>
      <c r="N136" s="179">
        <f t="shared" si="44"/>
        <v>64.977085110381651</v>
      </c>
      <c r="O136" s="179">
        <f t="shared" si="45"/>
        <v>750.06898790682556</v>
      </c>
      <c r="P136" s="179">
        <f t="shared" si="46"/>
        <v>42.50810223369372</v>
      </c>
    </row>
    <row r="137" spans="1:16">
      <c r="A137" s="24" t="s">
        <v>110</v>
      </c>
      <c r="B137" s="24" t="s">
        <v>138</v>
      </c>
      <c r="C137" s="8">
        <v>0.95</v>
      </c>
      <c r="D137" s="25">
        <v>0.72</v>
      </c>
      <c r="E137" s="8">
        <v>0.74</v>
      </c>
      <c r="F137" s="25">
        <v>0.74</v>
      </c>
      <c r="G137" s="25">
        <v>1.19</v>
      </c>
      <c r="H137" s="86">
        <f t="shared" si="38"/>
        <v>25.263157894736842</v>
      </c>
      <c r="J137" s="125">
        <v>0.98399999999999999</v>
      </c>
      <c r="K137" s="149">
        <f t="shared" si="40"/>
        <v>3.5789473684210558</v>
      </c>
      <c r="L137" s="142">
        <f t="shared" si="53"/>
        <v>36.666666666666671</v>
      </c>
      <c r="M137" s="152">
        <f t="shared" si="54"/>
        <v>32.972972972972968</v>
      </c>
      <c r="N137" s="179">
        <f t="shared" si="44"/>
        <v>12.808864265927999</v>
      </c>
      <c r="O137" s="179">
        <f t="shared" si="45"/>
        <v>1344.4444444444448</v>
      </c>
      <c r="P137" s="179">
        <f t="shared" si="46"/>
        <v>1087.2169466764058</v>
      </c>
    </row>
    <row r="138" spans="1:16">
      <c r="A138" s="24" t="s">
        <v>111</v>
      </c>
      <c r="B138" s="24" t="s">
        <v>139</v>
      </c>
      <c r="C138" s="8">
        <v>0.9</v>
      </c>
      <c r="D138" s="25">
        <v>0.74</v>
      </c>
      <c r="E138" s="8">
        <v>0.6</v>
      </c>
      <c r="F138" s="25">
        <v>0.61</v>
      </c>
      <c r="G138" s="25">
        <v>0.81</v>
      </c>
      <c r="H138" s="83">
        <f t="shared" si="38"/>
        <v>-9.9999999999999964</v>
      </c>
      <c r="J138" s="125">
        <v>0.69</v>
      </c>
      <c r="K138" s="149">
        <f t="shared" si="40"/>
        <v>-23.333333333333339</v>
      </c>
      <c r="L138" s="142">
        <f t="shared" si="53"/>
        <v>-6.7567567567567632</v>
      </c>
      <c r="M138" s="152">
        <f t="shared" si="54"/>
        <v>14.999999999999995</v>
      </c>
      <c r="N138" s="179">
        <f t="shared" si="44"/>
        <v>544.44444444444468</v>
      </c>
      <c r="O138" s="179">
        <f t="shared" si="45"/>
        <v>45.653761869978176</v>
      </c>
      <c r="P138" s="179">
        <f t="shared" si="46"/>
        <v>224.99999999999983</v>
      </c>
    </row>
    <row r="139" spans="1:16">
      <c r="A139" s="26" t="s">
        <v>111</v>
      </c>
      <c r="B139" s="26" t="s">
        <v>147</v>
      </c>
      <c r="C139" s="27">
        <v>0.88</v>
      </c>
      <c r="D139" s="28">
        <v>0.94</v>
      </c>
      <c r="E139" s="27">
        <v>0.76</v>
      </c>
      <c r="F139" s="28">
        <v>0.99</v>
      </c>
      <c r="G139" s="28">
        <v>0.25</v>
      </c>
      <c r="H139" s="87">
        <f t="shared" si="38"/>
        <v>-71.590909090909093</v>
      </c>
      <c r="J139" s="126">
        <v>1.0649999999999999</v>
      </c>
      <c r="K139" s="149">
        <f t="shared" si="40"/>
        <v>21.022727272727266</v>
      </c>
      <c r="L139" s="142">
        <f t="shared" si="53"/>
        <v>13.297872340425533</v>
      </c>
      <c r="M139" s="152">
        <f t="shared" si="54"/>
        <v>40.131578947368411</v>
      </c>
      <c r="N139" s="179">
        <f t="shared" si="44"/>
        <v>441.95506198347078</v>
      </c>
      <c r="O139" s="179">
        <f t="shared" si="45"/>
        <v>176.83340878225445</v>
      </c>
      <c r="P139" s="179">
        <f t="shared" si="46"/>
        <v>1610.5436288088633</v>
      </c>
    </row>
    <row r="140" spans="1:16">
      <c r="A140" s="20" t="s">
        <v>112</v>
      </c>
      <c r="B140" s="20" t="s">
        <v>140</v>
      </c>
      <c r="C140" s="21">
        <v>1.56</v>
      </c>
      <c r="D140" s="22">
        <v>2.33</v>
      </c>
      <c r="E140" s="21">
        <v>1.6</v>
      </c>
      <c r="F140" s="22">
        <v>1.17</v>
      </c>
      <c r="G140" s="22">
        <v>1.1499999999999999</v>
      </c>
      <c r="H140" s="85">
        <f t="shared" si="38"/>
        <v>-26.282051282051292</v>
      </c>
      <c r="J140" s="127">
        <v>2.278</v>
      </c>
      <c r="K140" s="149">
        <f t="shared" si="40"/>
        <v>46.025641025641022</v>
      </c>
      <c r="L140" s="142">
        <f t="shared" si="53"/>
        <v>-2.2317596566523625</v>
      </c>
      <c r="M140" s="152">
        <f t="shared" si="54"/>
        <v>42.374999999999993</v>
      </c>
      <c r="N140" s="179">
        <f t="shared" si="44"/>
        <v>2118.3596318211698</v>
      </c>
      <c r="O140" s="179">
        <f t="shared" si="45"/>
        <v>4.9807511650610712</v>
      </c>
      <c r="P140" s="179">
        <f t="shared" si="46"/>
        <v>1795.6406249999993</v>
      </c>
    </row>
    <row r="141" spans="1:16">
      <c r="A141" s="26" t="s">
        <v>113</v>
      </c>
      <c r="B141" s="26" t="s">
        <v>148</v>
      </c>
      <c r="C141" s="27">
        <v>0.12</v>
      </c>
      <c r="D141" s="28">
        <v>0.12</v>
      </c>
      <c r="E141" s="27">
        <v>0.13</v>
      </c>
      <c r="F141" s="28">
        <v>0.12</v>
      </c>
      <c r="G141" s="28">
        <v>0.14000000000000001</v>
      </c>
      <c r="H141" s="91">
        <f t="shared" si="38"/>
        <v>16.666666666666682</v>
      </c>
      <c r="J141" s="126">
        <v>0.107</v>
      </c>
      <c r="K141" s="149">
        <f t="shared" si="40"/>
        <v>-10.833333333333332</v>
      </c>
      <c r="L141" s="142">
        <f t="shared" si="53"/>
        <v>-10.833333333333332</v>
      </c>
      <c r="M141" s="152">
        <f t="shared" si="54"/>
        <v>-17.692307692307697</v>
      </c>
      <c r="N141" s="179">
        <f t="shared" si="44"/>
        <v>117.36111111111109</v>
      </c>
      <c r="O141" s="179">
        <f t="shared" si="45"/>
        <v>117.36111111111109</v>
      </c>
      <c r="P141" s="179">
        <f t="shared" si="46"/>
        <v>313.0177514792901</v>
      </c>
    </row>
    <row r="142" spans="1:16">
      <c r="A142" s="20" t="s">
        <v>114</v>
      </c>
      <c r="B142" s="20" t="s">
        <v>149</v>
      </c>
      <c r="C142" s="21">
        <v>0.18</v>
      </c>
      <c r="D142" s="22">
        <v>0.16</v>
      </c>
      <c r="E142" s="21"/>
      <c r="F142" s="22">
        <v>0.17</v>
      </c>
      <c r="G142" s="22">
        <v>0.15</v>
      </c>
      <c r="H142" s="92">
        <f t="shared" si="38"/>
        <v>-16.666666666666668</v>
      </c>
      <c r="J142" s="127">
        <v>0.16900000000000001</v>
      </c>
      <c r="K142" s="149">
        <f t="shared" si="40"/>
        <v>-6.1111111111111018</v>
      </c>
      <c r="L142" s="142">
        <f t="shared" si="53"/>
        <v>5.6250000000000044</v>
      </c>
      <c r="M142" s="152" t="e">
        <f t="shared" si="54"/>
        <v>#DIV/0!</v>
      </c>
      <c r="N142" s="179">
        <f t="shared" si="44"/>
        <v>37.345679012345563</v>
      </c>
      <c r="O142" s="179">
        <f t="shared" si="45"/>
        <v>31.64062500000005</v>
      </c>
      <c r="P142" s="179"/>
    </row>
    <row r="143" spans="1:16">
      <c r="A143" s="24" t="s">
        <v>115</v>
      </c>
      <c r="B143" s="24" t="s">
        <v>141</v>
      </c>
      <c r="C143" s="8">
        <v>0.23</v>
      </c>
      <c r="D143" s="25">
        <v>0.15</v>
      </c>
      <c r="E143" s="8">
        <v>0.26</v>
      </c>
      <c r="F143" s="25">
        <v>0.16</v>
      </c>
      <c r="G143" s="25"/>
      <c r="H143" s="93"/>
      <c r="J143" s="125">
        <v>0.2</v>
      </c>
      <c r="K143" s="149">
        <f t="shared" si="40"/>
        <v>-13.043478260869565</v>
      </c>
      <c r="L143" s="142">
        <f t="shared" si="53"/>
        <v>33.33333333333335</v>
      </c>
      <c r="M143" s="152">
        <f t="shared" si="54"/>
        <v>-23.076923076923077</v>
      </c>
      <c r="N143" s="179">
        <f t="shared" si="44"/>
        <v>170.13232514177693</v>
      </c>
      <c r="O143" s="179">
        <f t="shared" si="45"/>
        <v>1111.1111111111122</v>
      </c>
      <c r="P143" s="179">
        <f t="shared" si="46"/>
        <v>532.54437869822482</v>
      </c>
    </row>
    <row r="144" spans="1:16">
      <c r="A144" s="24" t="s">
        <v>116</v>
      </c>
      <c r="B144" s="24" t="s">
        <v>142</v>
      </c>
      <c r="C144" s="8">
        <v>0.68</v>
      </c>
      <c r="D144" s="25">
        <v>0.39</v>
      </c>
      <c r="E144" s="8">
        <v>0.32</v>
      </c>
      <c r="F144" s="25">
        <v>0.45</v>
      </c>
      <c r="G144" s="25"/>
      <c r="H144" s="93"/>
      <c r="J144" s="125">
        <v>0.55800000000000005</v>
      </c>
      <c r="K144" s="149">
        <f t="shared" si="40"/>
        <v>-17.941176470588232</v>
      </c>
      <c r="L144" s="142">
        <f t="shared" si="53"/>
        <v>43.076923076923087</v>
      </c>
      <c r="M144" s="152">
        <f t="shared" si="54"/>
        <v>74.375000000000014</v>
      </c>
      <c r="N144" s="179">
        <f t="shared" si="44"/>
        <v>321.88581314878883</v>
      </c>
      <c r="O144" s="179">
        <f t="shared" si="45"/>
        <v>1855.6213017751488</v>
      </c>
      <c r="P144" s="179">
        <f t="shared" si="46"/>
        <v>5531.6406250000018</v>
      </c>
    </row>
    <row r="145" spans="1:16">
      <c r="A145" s="26" t="s">
        <v>117</v>
      </c>
      <c r="B145" s="26" t="s">
        <v>143</v>
      </c>
      <c r="C145" s="27">
        <v>0.15</v>
      </c>
      <c r="D145" s="28">
        <v>0.2</v>
      </c>
      <c r="E145" s="27">
        <v>0.15</v>
      </c>
      <c r="F145" s="28">
        <v>0.17</v>
      </c>
      <c r="G145" s="28"/>
      <c r="H145" s="94"/>
      <c r="J145" s="126">
        <v>0.308</v>
      </c>
      <c r="K145" s="185">
        <f t="shared" si="40"/>
        <v>105.33333333333334</v>
      </c>
      <c r="L145" s="186">
        <f t="shared" si="53"/>
        <v>53.999999999999993</v>
      </c>
      <c r="M145" s="187">
        <f t="shared" si="54"/>
        <v>105.33333333333334</v>
      </c>
      <c r="N145" s="179"/>
      <c r="O145" s="179"/>
      <c r="P145" s="179"/>
    </row>
    <row r="146" spans="1:16">
      <c r="A146" s="20" t="s">
        <v>118</v>
      </c>
      <c r="B146" s="20" t="s">
        <v>16</v>
      </c>
      <c r="C146" s="21">
        <v>0.33</v>
      </c>
      <c r="D146" s="22">
        <v>0.21</v>
      </c>
      <c r="E146" s="21">
        <v>0.45</v>
      </c>
      <c r="F146" s="22">
        <v>0.43</v>
      </c>
      <c r="G146" s="22">
        <v>0.41</v>
      </c>
      <c r="H146" s="85">
        <f t="shared" si="38"/>
        <v>24.242424242424232</v>
      </c>
      <c r="J146" s="127">
        <v>0.26900000000000002</v>
      </c>
      <c r="K146" s="149">
        <f t="shared" si="40"/>
        <v>-18.484848484848484</v>
      </c>
      <c r="L146" s="142">
        <f t="shared" si="53"/>
        <v>28.095238095238106</v>
      </c>
      <c r="M146" s="152">
        <f t="shared" si="54"/>
        <v>-40.222222222222214</v>
      </c>
      <c r="N146" s="179">
        <f t="shared" si="44"/>
        <v>341.68962350780532</v>
      </c>
      <c r="O146" s="179">
        <f t="shared" si="45"/>
        <v>789.34240362811852</v>
      </c>
      <c r="P146" s="179">
        <f t="shared" si="46"/>
        <v>1617.8271604938266</v>
      </c>
    </row>
    <row r="147" spans="1:16">
      <c r="A147" s="24" t="s">
        <v>119</v>
      </c>
      <c r="B147" s="24" t="s">
        <v>17</v>
      </c>
      <c r="C147" s="8">
        <v>0.53</v>
      </c>
      <c r="D147" s="25">
        <v>0.48</v>
      </c>
      <c r="E147" s="8">
        <v>0.49</v>
      </c>
      <c r="F147" s="25">
        <v>0.49</v>
      </c>
      <c r="G147" s="25">
        <v>0.6</v>
      </c>
      <c r="H147" s="95">
        <f t="shared" si="38"/>
        <v>13.20754716981131</v>
      </c>
      <c r="J147" s="125">
        <v>0.56100000000000005</v>
      </c>
      <c r="K147" s="149">
        <f t="shared" si="40"/>
        <v>5.8490566037735894</v>
      </c>
      <c r="L147" s="142">
        <f t="shared" si="53"/>
        <v>16.875000000000014</v>
      </c>
      <c r="M147" s="152">
        <f t="shared" si="54"/>
        <v>14.489795918367362</v>
      </c>
      <c r="N147" s="179">
        <f t="shared" si="44"/>
        <v>34.211463154147438</v>
      </c>
      <c r="O147" s="179">
        <f t="shared" si="45"/>
        <v>284.76562500000045</v>
      </c>
      <c r="P147" s="179">
        <f t="shared" si="46"/>
        <v>209.95418575593544</v>
      </c>
    </row>
    <row r="148" spans="1:16">
      <c r="A148" s="24" t="s">
        <v>119</v>
      </c>
      <c r="B148" s="24" t="s">
        <v>19</v>
      </c>
      <c r="C148" s="8">
        <v>1.91</v>
      </c>
      <c r="D148" s="25">
        <v>2.04</v>
      </c>
      <c r="E148" s="8">
        <v>1.89</v>
      </c>
      <c r="F148" s="25">
        <v>1.87</v>
      </c>
      <c r="G148" s="25">
        <v>2.34</v>
      </c>
      <c r="H148" s="86">
        <f t="shared" si="38"/>
        <v>22.513089005235599</v>
      </c>
      <c r="J148" s="125">
        <v>2.1859999999999999</v>
      </c>
      <c r="K148" s="149">
        <f t="shared" si="40"/>
        <v>14.450261780104713</v>
      </c>
      <c r="L148" s="142">
        <f t="shared" si="53"/>
        <v>7.1568627450980342</v>
      </c>
      <c r="M148" s="152">
        <f t="shared" si="54"/>
        <v>15.661375661375665</v>
      </c>
      <c r="N148" s="179">
        <f t="shared" si="44"/>
        <v>208.81006551355503</v>
      </c>
      <c r="O148" s="179">
        <f t="shared" si="45"/>
        <v>51.220684352172171</v>
      </c>
      <c r="P148" s="179">
        <f t="shared" si="46"/>
        <v>245.27868760673005</v>
      </c>
    </row>
    <row r="149" spans="1:16" ht="17" thickBot="1">
      <c r="A149" s="26" t="s">
        <v>120</v>
      </c>
      <c r="B149" s="26" t="s">
        <v>44</v>
      </c>
      <c r="C149" s="27">
        <v>1.84</v>
      </c>
      <c r="D149" s="28">
        <v>1.92</v>
      </c>
      <c r="E149" s="27">
        <v>2.21</v>
      </c>
      <c r="F149" s="28">
        <v>1.98</v>
      </c>
      <c r="G149" s="28">
        <v>2.36</v>
      </c>
      <c r="H149" s="90">
        <f t="shared" si="38"/>
        <v>28.26086956521738</v>
      </c>
      <c r="J149" s="129">
        <v>2.6179999999999999</v>
      </c>
      <c r="K149" s="154">
        <f t="shared" si="40"/>
        <v>42.282608695652165</v>
      </c>
      <c r="L149" s="145">
        <f t="shared" si="53"/>
        <v>36.354166666666664</v>
      </c>
      <c r="M149" s="153">
        <f t="shared" si="54"/>
        <v>18.461538461538456</v>
      </c>
      <c r="N149" s="179">
        <f t="shared" si="44"/>
        <v>1787.81899810964</v>
      </c>
      <c r="O149" s="179">
        <f t="shared" si="45"/>
        <v>1321.6254340277776</v>
      </c>
      <c r="P149" s="179">
        <f t="shared" si="46"/>
        <v>340.82840236686371</v>
      </c>
    </row>
    <row r="150" spans="1:16" ht="17" thickBot="1">
      <c r="A150" s="24"/>
      <c r="B150" s="24"/>
      <c r="C150" s="8"/>
      <c r="D150" s="25"/>
      <c r="E150" s="8"/>
      <c r="F150" s="25"/>
      <c r="G150" s="25"/>
      <c r="H150" s="86"/>
      <c r="J150" s="125"/>
      <c r="K150" s="142">
        <f>SQRT(AVERAGE(N119:N149))</f>
        <v>18.478449122813466</v>
      </c>
      <c r="L150" s="142">
        <f t="shared" ref="L150:M150" si="55">SQRT(AVERAGE(O119:O149))</f>
        <v>23.754905494741266</v>
      </c>
      <c r="M150" s="142">
        <f t="shared" si="55"/>
        <v>41.796143563663151</v>
      </c>
      <c r="N150" s="179"/>
    </row>
    <row r="151" spans="1:16" ht="25">
      <c r="A151" s="113"/>
      <c r="B151" s="11"/>
      <c r="C151" s="8"/>
      <c r="D151" s="8"/>
      <c r="E151" s="8"/>
      <c r="F151" s="8"/>
      <c r="G151" s="109"/>
      <c r="J151" s="162" t="s">
        <v>204</v>
      </c>
      <c r="K151" s="163">
        <f>COUNTIF(K110:K149,"&gt;=-10")-COUNTIF(K110:K149,"&gt;10")</f>
        <v>18</v>
      </c>
      <c r="L151" s="163">
        <f>COUNTIF(L110:L149,"&gt;=-10")-COUNTIF(L110:L149,"&gt;10")</f>
        <v>17</v>
      </c>
      <c r="M151" s="164">
        <f>COUNTIF(M110:M149,"&gt;=-10")-COUNTIF(M110:M149,"&gt;10")</f>
        <v>16</v>
      </c>
    </row>
    <row r="152" spans="1:16" ht="25">
      <c r="A152" s="113"/>
      <c r="B152" s="11"/>
      <c r="C152" s="8"/>
      <c r="D152" s="8"/>
      <c r="E152" s="8"/>
      <c r="F152" s="8"/>
      <c r="G152" s="109"/>
      <c r="J152" s="160" t="s">
        <v>205</v>
      </c>
      <c r="K152" s="141">
        <f>COUNTIF(K110:K149,"&gt;=-20")-COUNTIF(K110:K149,"&gt;20")</f>
        <v>31</v>
      </c>
      <c r="L152" s="141">
        <f>COUNTIF(L110:L149,"&gt;=-20")-COUNTIF(L110:L149,"&gt;20")</f>
        <v>25</v>
      </c>
      <c r="M152" s="165">
        <f>COUNTIF(M110:M149,"&gt;=-20")-COUNTIF(M110:M149,"&gt;20")</f>
        <v>23</v>
      </c>
    </row>
    <row r="153" spans="1:16" ht="26" thickBot="1">
      <c r="J153" s="161" t="s">
        <v>190</v>
      </c>
      <c r="K153" s="134">
        <f>COUNTIF(K110:K149,"&lt;-50")+COUNTIF(K110:K149,"&gt;50")</f>
        <v>1</v>
      </c>
      <c r="L153" s="134">
        <f>COUNTIF(L110:L149,"&lt;-50")+COUNTIF(L110:L149,"&gt;50")</f>
        <v>1</v>
      </c>
      <c r="M153" s="166">
        <f>COUNTIF(M110:M149,"&lt;-50")+COUNTIF(M110:M149,"&gt;50")</f>
        <v>5</v>
      </c>
    </row>
    <row r="154" spans="1:16">
      <c r="K154" s="140"/>
      <c r="L154" s="140"/>
    </row>
    <row r="155" spans="1:16" ht="17" thickBot="1">
      <c r="H155" s="19" t="s">
        <v>186</v>
      </c>
      <c r="K155" s="140" t="s">
        <v>186</v>
      </c>
      <c r="L155" s="140" t="s">
        <v>186</v>
      </c>
    </row>
    <row r="156" spans="1:16" ht="33" thickBot="1">
      <c r="A156" s="58" t="s">
        <v>194</v>
      </c>
      <c r="B156" s="53" t="s">
        <v>180</v>
      </c>
      <c r="C156" s="57" t="s">
        <v>196</v>
      </c>
      <c r="D156" s="55" t="s">
        <v>22</v>
      </c>
      <c r="E156" s="54" t="s">
        <v>23</v>
      </c>
      <c r="F156" s="55" t="s">
        <v>89</v>
      </c>
      <c r="G156" s="55" t="s">
        <v>185</v>
      </c>
      <c r="H156" s="56" t="s">
        <v>193</v>
      </c>
      <c r="J156" s="155" t="s">
        <v>206</v>
      </c>
      <c r="K156" s="148" t="s">
        <v>207</v>
      </c>
      <c r="L156" s="148" t="s">
        <v>208</v>
      </c>
      <c r="M156" s="148" t="s">
        <v>209</v>
      </c>
    </row>
    <row r="157" spans="1:16">
      <c r="A157" s="24" t="s">
        <v>123</v>
      </c>
      <c r="B157" s="24" t="s">
        <v>151</v>
      </c>
      <c r="C157" s="8">
        <v>5.85</v>
      </c>
      <c r="D157" s="25">
        <v>6.05</v>
      </c>
      <c r="E157" s="8">
        <v>5.96</v>
      </c>
      <c r="F157" s="25">
        <v>5.74</v>
      </c>
      <c r="G157" s="25">
        <v>5.72</v>
      </c>
      <c r="H157" s="33">
        <f t="shared" ref="H157:H179" si="56">100*(G157-C157)/C157</f>
        <v>-2.2222222222222205</v>
      </c>
      <c r="J157" s="156">
        <v>5.6749999999999998</v>
      </c>
      <c r="K157" s="158">
        <f>100*($J157-C157)/C157</f>
        <v>-2.9914529914529888</v>
      </c>
      <c r="L157" s="158">
        <f t="shared" ref="L157:M177" si="57">100*($J157-D157)/D157</f>
        <v>-6.1983471074380168</v>
      </c>
      <c r="M157" s="158">
        <f t="shared" si="57"/>
        <v>-4.781879194630875</v>
      </c>
      <c r="N157" s="181">
        <f>SQRT(AVERAGE(K157^2,L157^2,M157^2))</f>
        <v>4.8385489042481149</v>
      </c>
    </row>
    <row r="158" spans="1:16">
      <c r="A158" s="24" t="s">
        <v>152</v>
      </c>
      <c r="B158" s="24">
        <v>5876</v>
      </c>
      <c r="C158" s="8">
        <v>0.12</v>
      </c>
      <c r="D158" s="25">
        <v>0.13</v>
      </c>
      <c r="E158" s="8">
        <v>0.13</v>
      </c>
      <c r="F158" s="25">
        <v>0.13</v>
      </c>
      <c r="G158" s="25">
        <v>0.13</v>
      </c>
      <c r="H158" s="33">
        <f t="shared" si="56"/>
        <v>8.333333333333341</v>
      </c>
      <c r="J158" s="125">
        <v>0.122</v>
      </c>
      <c r="K158" s="120">
        <f t="shared" ref="K158:K179" si="58">100*($J158-C158)/C158</f>
        <v>1.6666666666666683</v>
      </c>
      <c r="L158" s="120">
        <f t="shared" si="57"/>
        <v>-6.1538461538461595</v>
      </c>
      <c r="M158" s="120">
        <f t="shared" si="57"/>
        <v>-6.1538461538461595</v>
      </c>
    </row>
    <row r="159" spans="1:16" ht="17" thickBot="1">
      <c r="A159" s="26" t="s">
        <v>155</v>
      </c>
      <c r="B159" s="26">
        <v>4686</v>
      </c>
      <c r="C159" s="27">
        <v>8.1000000000000003E-2</v>
      </c>
      <c r="D159" s="28">
        <v>0.08</v>
      </c>
      <c r="E159" s="27">
        <v>8.6999999999999994E-2</v>
      </c>
      <c r="F159" s="28">
        <v>9.1999999999999998E-2</v>
      </c>
      <c r="G159" s="28">
        <v>0.09</v>
      </c>
      <c r="H159" s="67">
        <f t="shared" si="56"/>
        <v>11.111111111111104</v>
      </c>
      <c r="J159" s="129">
        <v>8.8999999999999996E-2</v>
      </c>
      <c r="K159" s="121">
        <f t="shared" si="58"/>
        <v>9.8765432098765356</v>
      </c>
      <c r="L159" s="121">
        <f t="shared" si="57"/>
        <v>11.249999999999993</v>
      </c>
      <c r="M159" s="121">
        <f t="shared" si="57"/>
        <v>2.2988505747126458</v>
      </c>
    </row>
    <row r="160" spans="1:16">
      <c r="A160" s="20" t="s">
        <v>121</v>
      </c>
      <c r="B160" s="20" t="s">
        <v>151</v>
      </c>
      <c r="C160" s="21">
        <v>133</v>
      </c>
      <c r="D160" s="22">
        <v>122</v>
      </c>
      <c r="E160" s="21">
        <v>120</v>
      </c>
      <c r="F160" s="22">
        <v>131</v>
      </c>
      <c r="G160" s="22">
        <v>134</v>
      </c>
      <c r="H160" s="30">
        <f>100*(G160-C160)/C160</f>
        <v>0.75187969924812026</v>
      </c>
      <c r="J160" s="156">
        <v>134.6</v>
      </c>
      <c r="K160" s="158">
        <f t="shared" ref="K160:M163" si="59">100*($J160-C160)/C160</f>
        <v>1.2030075187969882</v>
      </c>
      <c r="L160" s="158">
        <f t="shared" si="59"/>
        <v>10.327868852459012</v>
      </c>
      <c r="M160" s="158">
        <f t="shared" si="59"/>
        <v>12.166666666666663</v>
      </c>
    </row>
    <row r="161" spans="1:16">
      <c r="A161" s="24" t="s">
        <v>122</v>
      </c>
      <c r="B161" s="24" t="s">
        <v>144</v>
      </c>
      <c r="C161" s="8">
        <v>1.48</v>
      </c>
      <c r="D161" s="25">
        <v>1.48</v>
      </c>
      <c r="E161" s="8">
        <v>1.42</v>
      </c>
      <c r="F161" s="25">
        <v>1.45</v>
      </c>
      <c r="G161" s="25">
        <v>1.36</v>
      </c>
      <c r="H161" s="33">
        <f>100*(G161-C161)/C161</f>
        <v>-8.1081081081081017</v>
      </c>
      <c r="J161" s="125">
        <v>1.4359999999999999</v>
      </c>
      <c r="K161" s="120">
        <f t="shared" si="59"/>
        <v>-2.9729729729729755</v>
      </c>
      <c r="L161" s="120">
        <f t="shared" si="59"/>
        <v>-2.9729729729729755</v>
      </c>
      <c r="M161" s="120">
        <f t="shared" si="59"/>
        <v>1.1267605633802829</v>
      </c>
    </row>
    <row r="162" spans="1:16">
      <c r="A162" s="24" t="s">
        <v>9</v>
      </c>
      <c r="B162" s="24" t="s">
        <v>144</v>
      </c>
      <c r="C162" s="8">
        <v>1.05</v>
      </c>
      <c r="D162" s="25">
        <v>1.01</v>
      </c>
      <c r="E162" s="8">
        <v>1.01</v>
      </c>
      <c r="F162" s="25">
        <v>1.05</v>
      </c>
      <c r="G162" s="25">
        <v>1.06</v>
      </c>
      <c r="H162" s="33">
        <f>100*(G162-C162)/C162</f>
        <v>0.95238095238095322</v>
      </c>
      <c r="J162" s="125">
        <v>1.0669999999999999</v>
      </c>
      <c r="K162" s="120">
        <f t="shared" si="59"/>
        <v>1.6190476190476097</v>
      </c>
      <c r="L162" s="120">
        <f t="shared" si="59"/>
        <v>5.6435643564356379</v>
      </c>
      <c r="M162" s="120">
        <f t="shared" si="59"/>
        <v>5.6435643564356379</v>
      </c>
      <c r="N162" s="181">
        <f>SQRT(AVERAGE(K162^2,L162^2,M162^2))</f>
        <v>4.7018064784791429</v>
      </c>
    </row>
    <row r="163" spans="1:16" ht="17" thickBot="1">
      <c r="A163" s="46" t="s">
        <v>10</v>
      </c>
      <c r="B163" s="46" t="s">
        <v>176</v>
      </c>
      <c r="C163" s="60">
        <v>0.92</v>
      </c>
      <c r="D163" s="61">
        <v>0.92</v>
      </c>
      <c r="E163" s="60">
        <v>0.92</v>
      </c>
      <c r="F163" s="61">
        <v>0.91</v>
      </c>
      <c r="G163" s="61">
        <v>0.92</v>
      </c>
      <c r="H163" s="42">
        <f>100*(G163-C163)/C163</f>
        <v>0</v>
      </c>
      <c r="J163" s="129">
        <v>0.91400000000000003</v>
      </c>
      <c r="K163" s="121">
        <f t="shared" si="59"/>
        <v>-0.65217391304347883</v>
      </c>
      <c r="L163" s="121">
        <f t="shared" si="59"/>
        <v>-0.65217391304347883</v>
      </c>
      <c r="M163" s="121">
        <f t="shared" si="59"/>
        <v>-0.65217391304347883</v>
      </c>
      <c r="N163" s="181">
        <f>SQRT(AVERAGE(K163^2,L163^2,M163^2))</f>
        <v>0.65217391304347883</v>
      </c>
    </row>
    <row r="164" spans="1:16" ht="17" thickBot="1">
      <c r="A164" s="24"/>
      <c r="B164" s="24"/>
      <c r="C164" s="8"/>
      <c r="D164" s="25"/>
      <c r="E164" s="8"/>
      <c r="F164" s="25"/>
      <c r="G164" s="25"/>
      <c r="H164" s="180"/>
      <c r="J164" s="125"/>
      <c r="K164" s="177">
        <f>SQRT(AVERAGE(K157^2,K158^2,K159^2,K160^2,K161^2,K162^2,K163^2))</f>
        <v>4.1850945705019988</v>
      </c>
      <c r="L164" s="177">
        <f t="shared" ref="L164" si="60">SQRT(AVERAGE(L157^2,L158^2,L159^2,L160^2,L161^2,L162^2,L163^2))</f>
        <v>7.0774331721041186</v>
      </c>
      <c r="M164" s="178">
        <f t="shared" ref="M164" si="61">SQRT(AVERAGE(M157^2,M158^2,M159^2,M160^2,M161^2,M162^2,M163^2))</f>
        <v>5.9473093758577615</v>
      </c>
    </row>
    <row r="165" spans="1:16">
      <c r="A165" s="20" t="s">
        <v>99</v>
      </c>
      <c r="B165" s="20" t="s">
        <v>36</v>
      </c>
      <c r="C165" s="21">
        <v>0.83</v>
      </c>
      <c r="D165" s="22">
        <v>0.6</v>
      </c>
      <c r="E165" s="21">
        <v>0.6</v>
      </c>
      <c r="F165" s="22">
        <v>0.89</v>
      </c>
      <c r="G165" s="22">
        <v>1.03</v>
      </c>
      <c r="H165" s="23">
        <f t="shared" si="56"/>
        <v>24.096385542168683</v>
      </c>
      <c r="J165" s="125">
        <v>1.028</v>
      </c>
      <c r="K165" s="120">
        <f t="shared" si="58"/>
        <v>23.855421686746997</v>
      </c>
      <c r="L165" s="120">
        <f t="shared" si="57"/>
        <v>71.333333333333343</v>
      </c>
      <c r="M165" s="120">
        <f t="shared" si="57"/>
        <v>71.333333333333343</v>
      </c>
      <c r="N165" s="179">
        <f t="shared" ref="N165" si="62">K165^2</f>
        <v>569.08114385251895</v>
      </c>
      <c r="O165" s="179">
        <f t="shared" ref="O165" si="63">L165^2</f>
        <v>5088.4444444444462</v>
      </c>
      <c r="P165" s="179">
        <f t="shared" ref="P165" si="64">M165^2</f>
        <v>5088.4444444444462</v>
      </c>
    </row>
    <row r="166" spans="1:16">
      <c r="A166" s="26" t="s">
        <v>153</v>
      </c>
      <c r="B166" s="26" t="s">
        <v>131</v>
      </c>
      <c r="C166" s="27">
        <v>0.34</v>
      </c>
      <c r="D166" s="28">
        <v>0.35</v>
      </c>
      <c r="E166" s="27">
        <v>0.28999999999999998</v>
      </c>
      <c r="F166" s="28">
        <v>0.37</v>
      </c>
      <c r="G166" s="28">
        <v>0.32</v>
      </c>
      <c r="H166" s="39">
        <f t="shared" si="56"/>
        <v>-5.8823529411764754</v>
      </c>
      <c r="J166" s="126">
        <v>0.36299999999999999</v>
      </c>
      <c r="K166" s="120">
        <f t="shared" si="58"/>
        <v>6.7647058823529296</v>
      </c>
      <c r="L166" s="120">
        <f t="shared" si="57"/>
        <v>3.714285714285718</v>
      </c>
      <c r="M166" s="120">
        <f t="shared" si="57"/>
        <v>25.172413793103452</v>
      </c>
      <c r="N166" s="179">
        <f t="shared" ref="N166:N179" si="65">K166^2</f>
        <v>45.76124567474033</v>
      </c>
      <c r="O166" s="179">
        <f t="shared" ref="O166:O179" si="66">L166^2</f>
        <v>13.795918367346966</v>
      </c>
      <c r="P166" s="179">
        <f t="shared" ref="P166:P179" si="67">M166^2</f>
        <v>633.65041617122495</v>
      </c>
    </row>
    <row r="167" spans="1:16">
      <c r="A167" s="20" t="s">
        <v>126</v>
      </c>
      <c r="B167" s="20" t="s">
        <v>13</v>
      </c>
      <c r="C167" s="21">
        <v>0.12</v>
      </c>
      <c r="D167" s="22">
        <v>0.11</v>
      </c>
      <c r="E167" s="21">
        <v>0.11</v>
      </c>
      <c r="F167" s="22">
        <v>0.12</v>
      </c>
      <c r="G167" s="22">
        <v>0.12</v>
      </c>
      <c r="H167" s="30">
        <f t="shared" si="56"/>
        <v>0</v>
      </c>
      <c r="J167" s="127">
        <v>6.3E-2</v>
      </c>
      <c r="K167" s="120">
        <f t="shared" si="58"/>
        <v>-47.499999999999993</v>
      </c>
      <c r="L167" s="120">
        <f t="shared" si="57"/>
        <v>-42.727272727272727</v>
      </c>
      <c r="M167" s="120">
        <f t="shared" si="57"/>
        <v>-42.727272727272727</v>
      </c>
      <c r="N167" s="179"/>
      <c r="O167" s="179"/>
      <c r="P167" s="179"/>
    </row>
    <row r="168" spans="1:16">
      <c r="A168" s="26" t="s">
        <v>28</v>
      </c>
      <c r="B168" s="26" t="s">
        <v>38</v>
      </c>
      <c r="C168" s="27">
        <v>0.39</v>
      </c>
      <c r="D168" s="28">
        <v>0.37</v>
      </c>
      <c r="E168" s="27"/>
      <c r="F168" s="28">
        <v>0.41</v>
      </c>
      <c r="G168" s="28">
        <v>0.4</v>
      </c>
      <c r="H168" s="39">
        <f t="shared" si="56"/>
        <v>2.5641025641025661</v>
      </c>
      <c r="J168" s="126">
        <v>0.39100000000000001</v>
      </c>
      <c r="K168" s="120">
        <f t="shared" si="58"/>
        <v>0.25641025641025661</v>
      </c>
      <c r="L168" s="120">
        <f t="shared" si="57"/>
        <v>5.6756756756756808</v>
      </c>
      <c r="M168" s="120" t="e">
        <f t="shared" si="57"/>
        <v>#DIV/0!</v>
      </c>
      <c r="N168" s="179">
        <f t="shared" si="65"/>
        <v>6.5746219592373548E-2</v>
      </c>
      <c r="O168" s="179">
        <f t="shared" si="66"/>
        <v>32.213294375456599</v>
      </c>
      <c r="P168" s="179"/>
    </row>
    <row r="169" spans="1:16">
      <c r="A169" s="20" t="s">
        <v>156</v>
      </c>
      <c r="B169" s="20" t="s">
        <v>14</v>
      </c>
      <c r="C169" s="21">
        <v>0.28999999999999998</v>
      </c>
      <c r="D169" s="22">
        <v>0.22</v>
      </c>
      <c r="E169" s="21">
        <v>0.24</v>
      </c>
      <c r="F169" s="22">
        <v>0.26</v>
      </c>
      <c r="G169" s="22">
        <v>0.32</v>
      </c>
      <c r="H169" s="69">
        <f t="shared" si="56"/>
        <v>10.344827586206906</v>
      </c>
      <c r="J169" s="127">
        <v>0.24199999999999999</v>
      </c>
      <c r="K169" s="120">
        <f t="shared" si="58"/>
        <v>-16.551724137931032</v>
      </c>
      <c r="L169" s="120">
        <f t="shared" si="57"/>
        <v>9.9999999999999964</v>
      </c>
      <c r="M169" s="120">
        <f t="shared" si="57"/>
        <v>0.83333333333333415</v>
      </c>
      <c r="N169" s="179">
        <f t="shared" si="65"/>
        <v>273.95957193816878</v>
      </c>
      <c r="O169" s="179">
        <f t="shared" si="66"/>
        <v>99.999999999999929</v>
      </c>
      <c r="P169" s="179">
        <f t="shared" si="67"/>
        <v>0.69444444444444575</v>
      </c>
    </row>
    <row r="170" spans="1:16">
      <c r="A170" s="24" t="s">
        <v>107</v>
      </c>
      <c r="B170" s="24" t="s">
        <v>41</v>
      </c>
      <c r="C170" s="8">
        <v>11.5</v>
      </c>
      <c r="D170" s="25">
        <v>10</v>
      </c>
      <c r="E170" s="8">
        <v>10.1</v>
      </c>
      <c r="F170" s="25">
        <v>11.7</v>
      </c>
      <c r="G170" s="25">
        <v>11.9</v>
      </c>
      <c r="H170" s="33">
        <f t="shared" si="56"/>
        <v>3.4782608695652204</v>
      </c>
      <c r="J170" s="125">
        <v>12.612</v>
      </c>
      <c r="K170" s="120">
        <f t="shared" si="58"/>
        <v>9.6695652173913054</v>
      </c>
      <c r="L170" s="120">
        <f t="shared" si="57"/>
        <v>26.119999999999997</v>
      </c>
      <c r="M170" s="120">
        <f t="shared" si="57"/>
        <v>24.871287128712876</v>
      </c>
      <c r="N170" s="179">
        <f t="shared" si="65"/>
        <v>93.500491493383763</v>
      </c>
      <c r="O170" s="179">
        <f t="shared" si="66"/>
        <v>682.25439999999992</v>
      </c>
      <c r="P170" s="179">
        <f t="shared" si="67"/>
        <v>618.58092343887881</v>
      </c>
    </row>
    <row r="171" spans="1:16">
      <c r="A171" s="24" t="s">
        <v>107</v>
      </c>
      <c r="B171" s="24" t="s">
        <v>145</v>
      </c>
      <c r="C171" s="8">
        <v>2.02</v>
      </c>
      <c r="D171" s="25">
        <v>1.88</v>
      </c>
      <c r="E171" s="8">
        <v>1.96</v>
      </c>
      <c r="F171" s="25">
        <v>2.02</v>
      </c>
      <c r="G171" s="25">
        <v>2.02</v>
      </c>
      <c r="H171" s="33">
        <f t="shared" si="56"/>
        <v>0</v>
      </c>
      <c r="J171" s="125">
        <v>1.964</v>
      </c>
      <c r="K171" s="120">
        <f t="shared" si="58"/>
        <v>-2.7722772277227747</v>
      </c>
      <c r="L171" s="120">
        <f t="shared" si="57"/>
        <v>4.4680851063829827</v>
      </c>
      <c r="M171" s="120">
        <f t="shared" si="57"/>
        <v>0.20408163265306142</v>
      </c>
      <c r="N171" s="179">
        <f t="shared" si="65"/>
        <v>7.6855210273502736</v>
      </c>
      <c r="O171" s="179">
        <f t="shared" si="66"/>
        <v>19.963784517881429</v>
      </c>
      <c r="P171" s="179">
        <f t="shared" si="67"/>
        <v>4.1649312786339106E-2</v>
      </c>
    </row>
    <row r="172" spans="1:16">
      <c r="A172" s="26" t="s">
        <v>108</v>
      </c>
      <c r="B172" s="26" t="s">
        <v>146</v>
      </c>
      <c r="C172" s="27">
        <v>0.79</v>
      </c>
      <c r="D172" s="28">
        <v>0.68</v>
      </c>
      <c r="E172" s="27">
        <v>0.8</v>
      </c>
      <c r="F172" s="28">
        <v>0.86</v>
      </c>
      <c r="G172" s="28">
        <v>0.77</v>
      </c>
      <c r="H172" s="39">
        <f t="shared" si="56"/>
        <v>-2.5316455696202551</v>
      </c>
      <c r="J172" s="126">
        <v>0.95499999999999996</v>
      </c>
      <c r="K172" s="120">
        <f t="shared" si="58"/>
        <v>20.886075949367079</v>
      </c>
      <c r="L172" s="120">
        <f t="shared" si="57"/>
        <v>40.441176470588225</v>
      </c>
      <c r="M172" s="120">
        <f t="shared" si="57"/>
        <v>19.374999999999989</v>
      </c>
      <c r="N172" s="179">
        <f t="shared" si="65"/>
        <v>436.22816856272993</v>
      </c>
      <c r="O172" s="179">
        <f t="shared" si="66"/>
        <v>1635.4887543252587</v>
      </c>
      <c r="P172" s="179">
        <f t="shared" si="67"/>
        <v>375.3906249999996</v>
      </c>
    </row>
    <row r="173" spans="1:16">
      <c r="A173" s="20" t="s">
        <v>109</v>
      </c>
      <c r="B173" s="20" t="s">
        <v>42</v>
      </c>
      <c r="C173" s="21">
        <v>1.35</v>
      </c>
      <c r="D173" s="22">
        <v>1.3</v>
      </c>
      <c r="E173" s="21">
        <v>1.32</v>
      </c>
      <c r="F173" s="22">
        <v>1.35</v>
      </c>
      <c r="G173" s="22">
        <v>1.34</v>
      </c>
      <c r="H173" s="30">
        <f t="shared" si="56"/>
        <v>-0.74074074074074137</v>
      </c>
      <c r="J173" s="127">
        <v>0.90100000000000002</v>
      </c>
      <c r="K173" s="120">
        <f t="shared" si="58"/>
        <v>-33.25925925925926</v>
      </c>
      <c r="L173" s="120">
        <f t="shared" si="57"/>
        <v>-30.692307692307697</v>
      </c>
      <c r="M173" s="120">
        <f t="shared" si="57"/>
        <v>-31.742424242424246</v>
      </c>
      <c r="N173" s="179">
        <f t="shared" si="65"/>
        <v>1106.1783264746227</v>
      </c>
      <c r="O173" s="179">
        <f t="shared" si="66"/>
        <v>942.01775147929027</v>
      </c>
      <c r="P173" s="179">
        <f t="shared" si="67"/>
        <v>1007.5814967860424</v>
      </c>
    </row>
    <row r="174" spans="1:16">
      <c r="A174" s="26" t="s">
        <v>109</v>
      </c>
      <c r="B174" s="26" t="s">
        <v>43</v>
      </c>
      <c r="C174" s="27">
        <v>1.03</v>
      </c>
      <c r="D174" s="28">
        <v>1.02</v>
      </c>
      <c r="E174" s="27">
        <v>0.92</v>
      </c>
      <c r="F174" s="28">
        <v>0.89</v>
      </c>
      <c r="G174" s="28">
        <v>1.1100000000000001</v>
      </c>
      <c r="H174" s="39">
        <f t="shared" si="56"/>
        <v>7.7669902912621422</v>
      </c>
      <c r="J174" s="126">
        <v>0.84799999999999998</v>
      </c>
      <c r="K174" s="120">
        <f t="shared" si="58"/>
        <v>-17.669902912621364</v>
      </c>
      <c r="L174" s="120">
        <f t="shared" si="57"/>
        <v>-16.86274509803922</v>
      </c>
      <c r="M174" s="120">
        <f t="shared" si="57"/>
        <v>-7.8260869565217455</v>
      </c>
      <c r="N174" s="179">
        <f t="shared" si="65"/>
        <v>312.22546894146495</v>
      </c>
      <c r="O174" s="179">
        <f t="shared" si="66"/>
        <v>284.35217224144571</v>
      </c>
      <c r="P174" s="179">
        <f t="shared" si="67"/>
        <v>61.247637051039796</v>
      </c>
    </row>
    <row r="175" spans="1:16">
      <c r="A175" s="48" t="s">
        <v>154</v>
      </c>
      <c r="B175" s="48" t="s">
        <v>140</v>
      </c>
      <c r="C175" s="49">
        <v>0.13</v>
      </c>
      <c r="D175" s="50">
        <v>0.1</v>
      </c>
      <c r="E175" s="49">
        <v>7.0000000000000007E-2</v>
      </c>
      <c r="F175" s="50">
        <v>0.1</v>
      </c>
      <c r="G175" s="50">
        <v>0.1</v>
      </c>
      <c r="H175" s="68">
        <f t="shared" si="56"/>
        <v>-23.076923076923077</v>
      </c>
      <c r="J175" s="146">
        <v>0.124</v>
      </c>
      <c r="K175" s="120">
        <f t="shared" si="58"/>
        <v>-4.6153846153846194</v>
      </c>
      <c r="L175" s="120">
        <f t="shared" si="57"/>
        <v>23.999999999999993</v>
      </c>
      <c r="M175" s="120">
        <f t="shared" si="57"/>
        <v>77.142857142857125</v>
      </c>
      <c r="N175" s="179">
        <f t="shared" si="65"/>
        <v>21.301775147929032</v>
      </c>
      <c r="O175" s="179">
        <f t="shared" si="66"/>
        <v>575.99999999999966</v>
      </c>
      <c r="P175" s="179">
        <f t="shared" si="67"/>
        <v>5951.0204081632628</v>
      </c>
    </row>
    <row r="176" spans="1:16">
      <c r="A176" s="48" t="s">
        <v>116</v>
      </c>
      <c r="B176" s="48" t="s">
        <v>142</v>
      </c>
      <c r="C176" s="49">
        <v>0.15</v>
      </c>
      <c r="D176" s="50">
        <v>0.09</v>
      </c>
      <c r="E176" s="49">
        <v>0.1</v>
      </c>
      <c r="F176" s="50">
        <v>0.13</v>
      </c>
      <c r="G176" s="50"/>
      <c r="H176" s="71"/>
      <c r="J176" s="146">
        <v>0.129</v>
      </c>
      <c r="K176" s="120">
        <f t="shared" si="58"/>
        <v>-13.999999999999995</v>
      </c>
      <c r="L176" s="120">
        <f t="shared" si="57"/>
        <v>43.333333333333343</v>
      </c>
      <c r="M176" s="120">
        <f t="shared" si="57"/>
        <v>28.999999999999996</v>
      </c>
      <c r="N176" s="179">
        <f t="shared" si="65"/>
        <v>195.99999999999986</v>
      </c>
      <c r="O176" s="179">
        <f t="shared" si="66"/>
        <v>1877.7777777777785</v>
      </c>
      <c r="P176" s="179">
        <f t="shared" si="67"/>
        <v>840.99999999999977</v>
      </c>
    </row>
    <row r="177" spans="1:16">
      <c r="A177" s="20" t="s">
        <v>119</v>
      </c>
      <c r="B177" s="20" t="s">
        <v>17</v>
      </c>
      <c r="C177" s="21">
        <v>0.34</v>
      </c>
      <c r="D177" s="22">
        <v>0.24</v>
      </c>
      <c r="E177" s="21">
        <v>0.32</v>
      </c>
      <c r="F177" s="22">
        <v>0.28000000000000003</v>
      </c>
      <c r="G177" s="22">
        <v>0.36</v>
      </c>
      <c r="H177" s="30">
        <f t="shared" si="56"/>
        <v>5.8823529411764595</v>
      </c>
      <c r="J177" s="127">
        <v>0.48199999999999998</v>
      </c>
      <c r="K177" s="120">
        <f t="shared" si="58"/>
        <v>41.764705882352928</v>
      </c>
      <c r="L177" s="120">
        <f t="shared" si="57"/>
        <v>100.83333333333333</v>
      </c>
      <c r="M177" s="120">
        <f t="shared" si="57"/>
        <v>50.625</v>
      </c>
      <c r="N177" s="179"/>
      <c r="O177" s="179"/>
      <c r="P177" s="179"/>
    </row>
    <row r="178" spans="1:16">
      <c r="A178" s="24" t="s">
        <v>119</v>
      </c>
      <c r="B178" s="24" t="s">
        <v>19</v>
      </c>
      <c r="C178" s="8">
        <v>1.1299999999999999</v>
      </c>
      <c r="D178" s="25">
        <v>0.81</v>
      </c>
      <c r="E178" s="8">
        <v>0.92</v>
      </c>
      <c r="F178" s="25">
        <v>0.85</v>
      </c>
      <c r="G178" s="25">
        <v>1.1000000000000001</v>
      </c>
      <c r="H178" s="33">
        <f t="shared" si="56"/>
        <v>-2.654867256637151</v>
      </c>
      <c r="J178" s="125">
        <v>1.35</v>
      </c>
      <c r="K178" s="120">
        <f t="shared" si="58"/>
        <v>19.469026548672588</v>
      </c>
      <c r="L178" s="120">
        <f t="shared" ref="L178:L179" si="68">100*($J178-D178)/D178</f>
        <v>66.666666666666657</v>
      </c>
      <c r="M178" s="120">
        <f t="shared" ref="M178:M179" si="69">100*($J178-E178)/E178</f>
        <v>46.739130434782616</v>
      </c>
      <c r="N178" s="179">
        <f t="shared" si="65"/>
        <v>379.04299475291805</v>
      </c>
      <c r="O178" s="179">
        <f t="shared" si="66"/>
        <v>4444.4444444444434</v>
      </c>
      <c r="P178" s="179">
        <f t="shared" si="67"/>
        <v>2184.5463137996226</v>
      </c>
    </row>
    <row r="179" spans="1:16">
      <c r="A179" s="26" t="s">
        <v>120</v>
      </c>
      <c r="B179" s="26" t="s">
        <v>44</v>
      </c>
      <c r="C179" s="27">
        <v>2.0499999999999998</v>
      </c>
      <c r="D179" s="28">
        <v>2.19</v>
      </c>
      <c r="E179" s="27">
        <v>2.21</v>
      </c>
      <c r="F179" s="28">
        <v>2.35</v>
      </c>
      <c r="G179" s="28">
        <v>2.31</v>
      </c>
      <c r="H179" s="67">
        <f t="shared" si="56"/>
        <v>12.682926829268304</v>
      </c>
      <c r="J179" s="125">
        <v>2.056</v>
      </c>
      <c r="K179" s="120">
        <f t="shared" si="58"/>
        <v>0.29268292682927943</v>
      </c>
      <c r="L179" s="120">
        <f t="shared" si="68"/>
        <v>-6.1187214611872101</v>
      </c>
      <c r="M179" s="120">
        <f t="shared" si="69"/>
        <v>-6.9683257918552002</v>
      </c>
      <c r="N179" s="179">
        <f t="shared" si="65"/>
        <v>8.5663295657353339E-2</v>
      </c>
      <c r="O179" s="179">
        <f t="shared" si="66"/>
        <v>37.43875231959295</v>
      </c>
      <c r="P179" s="179">
        <f t="shared" si="67"/>
        <v>48.5575643414344</v>
      </c>
    </row>
    <row r="180" spans="1:16">
      <c r="A180" s="24"/>
      <c r="B180" s="24"/>
      <c r="C180" s="8"/>
      <c r="D180" s="25"/>
      <c r="E180" s="8"/>
      <c r="F180" s="25"/>
      <c r="G180" s="25"/>
      <c r="H180" s="180"/>
      <c r="J180" s="125"/>
      <c r="K180" s="142">
        <f>SQRT(AVERAGE(N165:N179))</f>
        <v>16.269641661651445</v>
      </c>
      <c r="L180" s="142">
        <f t="shared" ref="L180:M180" si="70">SQRT(AVERAGE(O165:O179))</f>
        <v>34.789688452728612</v>
      </c>
      <c r="M180" s="142">
        <f t="shared" si="70"/>
        <v>37.428549623419357</v>
      </c>
    </row>
    <row r="181" spans="1:16">
      <c r="A181" s="24"/>
      <c r="B181" s="24"/>
      <c r="C181" s="16"/>
      <c r="D181" s="45"/>
      <c r="E181" s="16"/>
      <c r="F181" s="45"/>
      <c r="G181" s="45"/>
      <c r="H181" s="33"/>
      <c r="J181" s="159" t="s">
        <v>204</v>
      </c>
      <c r="K181" s="122">
        <f>COUNTIF(K157:K179,"&gt;=-10")-COUNTIF(K157:K179,"&gt;10")</f>
        <v>14</v>
      </c>
      <c r="L181" s="122">
        <f>COUNTIF(L157:L179,"&gt;=-10")-COUNTIF(L157:L179,"&gt;10")</f>
        <v>11</v>
      </c>
      <c r="M181" s="122">
        <f>COUNTIF(M157:M179,"&gt;=-10")-COUNTIF(M157:M179,"&gt;10")</f>
        <v>11</v>
      </c>
    </row>
    <row r="182" spans="1:16">
      <c r="A182"/>
      <c r="B182"/>
      <c r="J182" s="160" t="s">
        <v>205</v>
      </c>
      <c r="K182" s="123">
        <f>COUNTIF(K157:K179,"&gt;=-20")-COUNTIF(K157:K179,"&gt;20")</f>
        <v>18</v>
      </c>
      <c r="L182" s="123">
        <f>COUNTIF(L157:L179,"&gt;=-20")-COUNTIF(L157:L179,"&gt;20")</f>
        <v>14</v>
      </c>
      <c r="M182" s="123">
        <f>COUNTIF(M157:M179,"&gt;=-20")-COUNTIF(M157:M179,"&gt;20")</f>
        <v>13</v>
      </c>
    </row>
    <row r="183" spans="1:16" ht="17" thickBot="1">
      <c r="J183" s="161" t="s">
        <v>190</v>
      </c>
      <c r="K183" s="124">
        <f>COUNTIF(K157:K179,"&lt;-50")+COUNTIF(K157:K179,"&gt;50")</f>
        <v>0</v>
      </c>
      <c r="L183" s="124">
        <f>COUNTIF(L157:L179,"&lt;-50")+COUNTIF(L157:L179,"&gt;50")</f>
        <v>3</v>
      </c>
      <c r="M183" s="124">
        <f>COUNTIF(M157:M179,"&lt;-50")+COUNTIF(M157:M179,"&gt;50")</f>
        <v>3</v>
      </c>
    </row>
    <row r="184" spans="1:16">
      <c r="K184" s="140"/>
      <c r="L184" s="140"/>
    </row>
    <row r="185" spans="1:16" ht="17" thickBot="1">
      <c r="H185" s="19" t="s">
        <v>186</v>
      </c>
      <c r="K185" s="140" t="s">
        <v>186</v>
      </c>
      <c r="L185" s="140" t="s">
        <v>186</v>
      </c>
    </row>
    <row r="186" spans="1:16" ht="33" thickBot="1">
      <c r="A186" s="54" t="s">
        <v>195</v>
      </c>
      <c r="B186" s="53" t="s">
        <v>180</v>
      </c>
      <c r="C186" s="57" t="s">
        <v>196</v>
      </c>
      <c r="D186" s="55" t="s">
        <v>22</v>
      </c>
      <c r="E186" s="54" t="s">
        <v>23</v>
      </c>
      <c r="F186" s="55" t="s">
        <v>89</v>
      </c>
      <c r="G186" s="55" t="s">
        <v>185</v>
      </c>
      <c r="H186" s="56" t="s">
        <v>193</v>
      </c>
      <c r="J186" s="155" t="s">
        <v>206</v>
      </c>
      <c r="K186" s="148" t="s">
        <v>207</v>
      </c>
      <c r="L186" s="148" t="s">
        <v>208</v>
      </c>
      <c r="M186" s="148" t="s">
        <v>209</v>
      </c>
    </row>
    <row r="187" spans="1:16">
      <c r="A187" s="24" t="s">
        <v>123</v>
      </c>
      <c r="B187" s="24" t="s">
        <v>151</v>
      </c>
      <c r="C187" s="63">
        <v>5.41</v>
      </c>
      <c r="D187" s="32">
        <v>5.56</v>
      </c>
      <c r="E187" s="63">
        <v>5.52</v>
      </c>
      <c r="F187" s="32">
        <v>5.41</v>
      </c>
      <c r="G187" s="32">
        <v>5.38</v>
      </c>
      <c r="H187" s="72">
        <f t="shared" ref="H187:H204" si="71">100*(G187-C187)/C187</f>
        <v>-0.55452865064695467</v>
      </c>
      <c r="J187" s="156">
        <v>5.2789999999999999</v>
      </c>
      <c r="K187" s="158">
        <f>100*($J187-C187)/C187</f>
        <v>-2.4214417744916861</v>
      </c>
      <c r="L187" s="158">
        <f t="shared" ref="L187:M204" si="72">100*($J187-D187)/D187</f>
        <v>-5.0539568345323689</v>
      </c>
      <c r="M187" s="158">
        <f t="shared" si="72"/>
        <v>-4.3659420289855015</v>
      </c>
      <c r="N187" s="181">
        <f>SQRT(AVERAGE(K187^2,L187^2,M187^2))</f>
        <v>4.101516376213068</v>
      </c>
    </row>
    <row r="188" spans="1:16">
      <c r="A188" s="24" t="s">
        <v>152</v>
      </c>
      <c r="B188" s="24">
        <v>5876</v>
      </c>
      <c r="C188" s="63">
        <v>0.13</v>
      </c>
      <c r="D188" s="32">
        <v>0.14000000000000001</v>
      </c>
      <c r="E188" s="63">
        <v>0.12</v>
      </c>
      <c r="F188" s="32">
        <v>0.12</v>
      </c>
      <c r="G188" s="32">
        <v>0.12</v>
      </c>
      <c r="H188" s="33">
        <f t="shared" si="71"/>
        <v>-7.6923076923076987</v>
      </c>
      <c r="J188" s="125">
        <v>0.11899999999999999</v>
      </c>
      <c r="K188" s="120">
        <f t="shared" ref="K188:K204" si="73">100*($J188-C188)/C188</f>
        <v>-8.4615384615384688</v>
      </c>
      <c r="L188" s="120">
        <f t="shared" si="72"/>
        <v>-15.000000000000012</v>
      </c>
      <c r="M188" s="120">
        <f t="shared" si="72"/>
        <v>-0.83333333333333415</v>
      </c>
    </row>
    <row r="189" spans="1:16" ht="17" thickBot="1">
      <c r="A189" s="26" t="s">
        <v>155</v>
      </c>
      <c r="B189" s="26">
        <v>4686</v>
      </c>
      <c r="C189" s="64">
        <v>8.7999999999999995E-2</v>
      </c>
      <c r="D189" s="34">
        <v>8.2000000000000003E-2</v>
      </c>
      <c r="E189" s="64">
        <v>8.7999999999999995E-2</v>
      </c>
      <c r="F189" s="34">
        <v>8.7999999999999995E-2</v>
      </c>
      <c r="G189" s="34">
        <v>9.0999999999999998E-2</v>
      </c>
      <c r="H189" s="39">
        <f t="shared" si="71"/>
        <v>3.4090909090909123</v>
      </c>
      <c r="J189" s="129">
        <v>8.7999999999999995E-2</v>
      </c>
      <c r="K189" s="121">
        <f t="shared" si="73"/>
        <v>0</v>
      </c>
      <c r="L189" s="121">
        <f t="shared" si="72"/>
        <v>7.3170731707316969</v>
      </c>
      <c r="M189" s="121">
        <f t="shared" si="72"/>
        <v>0</v>
      </c>
    </row>
    <row r="190" spans="1:16">
      <c r="A190" s="20" t="s">
        <v>121</v>
      </c>
      <c r="B190" s="20" t="s">
        <v>151</v>
      </c>
      <c r="C190" s="62">
        <v>120</v>
      </c>
      <c r="D190" s="31">
        <v>109</v>
      </c>
      <c r="E190" s="62">
        <v>112</v>
      </c>
      <c r="F190" s="31">
        <v>124</v>
      </c>
      <c r="G190" s="31">
        <v>122</v>
      </c>
      <c r="H190" s="30">
        <f>100*(G190-C190)/C190</f>
        <v>1.6666666666666667</v>
      </c>
      <c r="J190" s="156">
        <v>128.77000000000001</v>
      </c>
      <c r="K190" s="158">
        <f t="shared" ref="K190:M193" si="74">100*($J190-C190)/C190</f>
        <v>7.3083333333333416</v>
      </c>
      <c r="L190" s="158">
        <f t="shared" si="74"/>
        <v>18.137614678899091</v>
      </c>
      <c r="M190" s="158">
        <f t="shared" si="74"/>
        <v>14.973214285714294</v>
      </c>
    </row>
    <row r="191" spans="1:16">
      <c r="A191" s="24" t="s">
        <v>122</v>
      </c>
      <c r="B191" s="24" t="s">
        <v>144</v>
      </c>
      <c r="C191" s="8">
        <v>1.78</v>
      </c>
      <c r="D191" s="25">
        <v>1.83</v>
      </c>
      <c r="E191" s="8">
        <v>1.79</v>
      </c>
      <c r="F191" s="25">
        <v>1.73</v>
      </c>
      <c r="G191" s="25">
        <v>1.76</v>
      </c>
      <c r="H191" s="33">
        <f>100*(G191-C191)/C191</f>
        <v>-1.1235955056179785</v>
      </c>
      <c r="J191" s="125">
        <v>1.8089999999999999</v>
      </c>
      <c r="K191" s="120">
        <f t="shared" si="74"/>
        <v>1.6292134831460625</v>
      </c>
      <c r="L191" s="120">
        <f t="shared" si="74"/>
        <v>-1.1475409836065644</v>
      </c>
      <c r="M191" s="120">
        <f t="shared" si="74"/>
        <v>1.0614525139664752</v>
      </c>
    </row>
    <row r="192" spans="1:16">
      <c r="A192" s="24" t="s">
        <v>9</v>
      </c>
      <c r="B192" s="24" t="s">
        <v>144</v>
      </c>
      <c r="C192" s="8">
        <v>1.1599999999999999</v>
      </c>
      <c r="D192" s="25">
        <v>1.1100000000000001</v>
      </c>
      <c r="E192" s="8">
        <v>1.1100000000000001</v>
      </c>
      <c r="F192" s="25">
        <v>1.1399999999999999</v>
      </c>
      <c r="G192" s="25">
        <v>1.2</v>
      </c>
      <c r="H192" s="33">
        <f>100*(G192-C192)/C192</f>
        <v>3.4482758620689689</v>
      </c>
      <c r="J192" s="125">
        <v>1.173</v>
      </c>
      <c r="K192" s="120">
        <f t="shared" si="74"/>
        <v>1.1206896551724244</v>
      </c>
      <c r="L192" s="120">
        <f t="shared" si="74"/>
        <v>5.6756756756756701</v>
      </c>
      <c r="M192" s="120">
        <f t="shared" si="74"/>
        <v>5.6756756756756701</v>
      </c>
      <c r="N192" s="181">
        <f>SQRT(AVERAGE(K192^2,L192^2,M192^2))</f>
        <v>4.6791215006709486</v>
      </c>
    </row>
    <row r="193" spans="1:16" ht="17" thickBot="1">
      <c r="A193" s="46" t="s">
        <v>10</v>
      </c>
      <c r="B193" s="46" t="s">
        <v>176</v>
      </c>
      <c r="C193" s="60">
        <v>0.91</v>
      </c>
      <c r="D193" s="61">
        <v>0.91</v>
      </c>
      <c r="E193" s="60">
        <v>0.91</v>
      </c>
      <c r="F193" s="61">
        <v>0.91</v>
      </c>
      <c r="G193" s="61">
        <v>0.9</v>
      </c>
      <c r="H193" s="42">
        <f>100*(G193-C193)/C193</f>
        <v>-1.0989010989010999</v>
      </c>
      <c r="J193" s="129">
        <v>0.90100000000000002</v>
      </c>
      <c r="K193" s="121">
        <f t="shared" si="74"/>
        <v>-0.98901098901098983</v>
      </c>
      <c r="L193" s="121">
        <f t="shared" si="74"/>
        <v>-0.98901098901098983</v>
      </c>
      <c r="M193" s="121">
        <f t="shared" si="74"/>
        <v>-0.98901098901098983</v>
      </c>
      <c r="N193" s="181">
        <f>SQRT(AVERAGE(K193^2,L193^2,M193^2))</f>
        <v>0.98901098901098983</v>
      </c>
    </row>
    <row r="194" spans="1:16" ht="17" thickBot="1">
      <c r="A194" s="24"/>
      <c r="B194" s="24"/>
      <c r="C194" s="16"/>
      <c r="D194" s="45"/>
      <c r="E194" s="16"/>
      <c r="F194" s="45"/>
      <c r="G194" s="45"/>
      <c r="H194" s="33"/>
      <c r="J194" s="125"/>
      <c r="K194" s="177">
        <f>SQRT(AVERAGE(K187^2,K188^2,K189^2,K190^2,K191^2,K192^2,K193^2))</f>
        <v>4.403913424082841</v>
      </c>
      <c r="L194" s="177">
        <f t="shared" ref="L194" si="75">SQRT(AVERAGE(L187^2,L188^2,L189^2,L190^2,L191^2,L192^2,L193^2))</f>
        <v>9.7655618895635481</v>
      </c>
      <c r="M194" s="178">
        <f t="shared" ref="M194" si="76">SQRT(AVERAGE(M187^2,M188^2,M189^2,M190^2,M191^2,M192^2,M193^2))</f>
        <v>6.3049998169488113</v>
      </c>
    </row>
    <row r="195" spans="1:16">
      <c r="A195" s="20" t="s">
        <v>99</v>
      </c>
      <c r="B195" s="20" t="s">
        <v>36</v>
      </c>
      <c r="C195" s="21">
        <v>1.17</v>
      </c>
      <c r="D195" s="31">
        <v>0.78</v>
      </c>
      <c r="E195" s="62">
        <v>0.81</v>
      </c>
      <c r="F195" s="31">
        <v>1.41</v>
      </c>
      <c r="G195" s="31">
        <v>1.43</v>
      </c>
      <c r="H195" s="23">
        <f t="shared" si="71"/>
        <v>22.222222222222225</v>
      </c>
      <c r="J195" s="125">
        <v>1.357</v>
      </c>
      <c r="K195" s="120">
        <f t="shared" si="73"/>
        <v>15.98290598290599</v>
      </c>
      <c r="L195" s="120">
        <f t="shared" si="72"/>
        <v>73.974358974358964</v>
      </c>
      <c r="M195" s="120">
        <f t="shared" si="72"/>
        <v>67.53086419753086</v>
      </c>
      <c r="N195" s="179">
        <f t="shared" ref="N195" si="77">K195^2</f>
        <v>255.45328365841209</v>
      </c>
      <c r="O195" s="179">
        <f t="shared" ref="O195" si="78">L195^2</f>
        <v>5472.2057856673227</v>
      </c>
      <c r="P195" s="179">
        <f t="shared" ref="P195" si="79">M195^2</f>
        <v>4560.4176192653549</v>
      </c>
    </row>
    <row r="196" spans="1:16">
      <c r="A196" s="26" t="s">
        <v>153</v>
      </c>
      <c r="B196" s="26" t="s">
        <v>131</v>
      </c>
      <c r="C196" s="27">
        <v>1.38</v>
      </c>
      <c r="D196" s="34">
        <v>1.34</v>
      </c>
      <c r="E196" s="64">
        <v>1.31</v>
      </c>
      <c r="F196" s="34">
        <v>1.43</v>
      </c>
      <c r="G196" s="34">
        <v>1.51</v>
      </c>
      <c r="H196" s="39">
        <f t="shared" si="71"/>
        <v>9.4202898550724719</v>
      </c>
      <c r="J196" s="126">
        <v>1.633</v>
      </c>
      <c r="K196" s="120">
        <f t="shared" si="73"/>
        <v>18.333333333333343</v>
      </c>
      <c r="L196" s="120">
        <f t="shared" si="72"/>
        <v>21.865671641791039</v>
      </c>
      <c r="M196" s="120">
        <f t="shared" si="72"/>
        <v>24.656488549618317</v>
      </c>
      <c r="N196" s="179">
        <f t="shared" ref="N196:N204" si="80">K196^2</f>
        <v>336.11111111111148</v>
      </c>
      <c r="O196" s="179">
        <f t="shared" ref="O196:O204" si="81">L196^2</f>
        <v>478.1075963466248</v>
      </c>
      <c r="P196" s="179">
        <f t="shared" ref="P196:P204" si="82">M196^2</f>
        <v>607.94242759745919</v>
      </c>
    </row>
    <row r="197" spans="1:16">
      <c r="A197" s="20" t="s">
        <v>107</v>
      </c>
      <c r="B197" s="20" t="s">
        <v>41</v>
      </c>
      <c r="C197" s="21">
        <v>14.3</v>
      </c>
      <c r="D197" s="31">
        <v>12.7</v>
      </c>
      <c r="E197" s="62">
        <v>13.1</v>
      </c>
      <c r="F197" s="31">
        <v>14.5</v>
      </c>
      <c r="G197" s="31">
        <v>14.6</v>
      </c>
      <c r="H197" s="30">
        <f t="shared" si="71"/>
        <v>2.0979020979020904</v>
      </c>
      <c r="J197" s="127">
        <v>16.088999999999999</v>
      </c>
      <c r="K197" s="120">
        <f t="shared" si="73"/>
        <v>12.510489510489496</v>
      </c>
      <c r="L197" s="120">
        <f t="shared" si="72"/>
        <v>26.685039370078734</v>
      </c>
      <c r="M197" s="120">
        <f t="shared" si="72"/>
        <v>22.816793893129766</v>
      </c>
      <c r="N197" s="179">
        <f t="shared" si="80"/>
        <v>156.51234779206771</v>
      </c>
      <c r="O197" s="179">
        <f t="shared" si="81"/>
        <v>712.09132618265198</v>
      </c>
      <c r="P197" s="179">
        <f t="shared" si="82"/>
        <v>520.60608356156376</v>
      </c>
    </row>
    <row r="198" spans="1:16">
      <c r="A198" s="24" t="s">
        <v>107</v>
      </c>
      <c r="B198" s="24" t="s">
        <v>145</v>
      </c>
      <c r="C198" s="8">
        <v>0.26</v>
      </c>
      <c r="D198" s="32">
        <v>0.26</v>
      </c>
      <c r="E198" s="63">
        <v>0.26</v>
      </c>
      <c r="F198" s="32">
        <v>0.27</v>
      </c>
      <c r="G198" s="32"/>
      <c r="H198" s="70"/>
      <c r="J198" s="125">
        <v>0.26800000000000002</v>
      </c>
      <c r="K198" s="120">
        <f t="shared" si="73"/>
        <v>3.0769230769230798</v>
      </c>
      <c r="L198" s="120">
        <f t="shared" si="72"/>
        <v>3.0769230769230798</v>
      </c>
      <c r="M198" s="120">
        <f t="shared" si="72"/>
        <v>3.0769230769230798</v>
      </c>
      <c r="N198" s="179">
        <f t="shared" si="80"/>
        <v>9.4674556213017933</v>
      </c>
      <c r="O198" s="179">
        <f t="shared" si="81"/>
        <v>9.4674556213017933</v>
      </c>
      <c r="P198" s="179">
        <f t="shared" si="82"/>
        <v>9.4674556213017933</v>
      </c>
    </row>
    <row r="199" spans="1:16">
      <c r="A199" s="26" t="s">
        <v>108</v>
      </c>
      <c r="B199" s="26" t="s">
        <v>146</v>
      </c>
      <c r="C199" s="27">
        <v>0.22</v>
      </c>
      <c r="D199" s="34">
        <v>0.21</v>
      </c>
      <c r="E199" s="64">
        <v>0.23</v>
      </c>
      <c r="F199" s="34">
        <v>0.21</v>
      </c>
      <c r="G199" s="34">
        <v>0.22</v>
      </c>
      <c r="H199" s="39">
        <f t="shared" si="71"/>
        <v>0</v>
      </c>
      <c r="J199" s="126">
        <v>0.25800000000000001</v>
      </c>
      <c r="K199" s="120">
        <f t="shared" si="73"/>
        <v>17.272727272727277</v>
      </c>
      <c r="L199" s="120">
        <f t="shared" si="72"/>
        <v>22.857142857142865</v>
      </c>
      <c r="M199" s="120">
        <f t="shared" si="72"/>
        <v>12.17391304347826</v>
      </c>
      <c r="N199" s="179">
        <f t="shared" si="80"/>
        <v>298.34710743801668</v>
      </c>
      <c r="O199" s="179">
        <f t="shared" si="81"/>
        <v>522.44897959183709</v>
      </c>
      <c r="P199" s="179">
        <f t="shared" si="82"/>
        <v>148.20415879017011</v>
      </c>
    </row>
    <row r="200" spans="1:16">
      <c r="A200" s="20" t="s">
        <v>109</v>
      </c>
      <c r="B200" s="20" t="s">
        <v>42</v>
      </c>
      <c r="C200" s="21">
        <v>1.1100000000000001</v>
      </c>
      <c r="D200" s="31">
        <v>1.0900000000000001</v>
      </c>
      <c r="E200" s="62">
        <v>1.1000000000000001</v>
      </c>
      <c r="F200" s="31">
        <v>1.1200000000000001</v>
      </c>
      <c r="G200" s="31">
        <v>1.1200000000000001</v>
      </c>
      <c r="H200" s="30">
        <f t="shared" si="71"/>
        <v>0.90090090090090158</v>
      </c>
      <c r="J200" s="127">
        <v>0.79800000000000004</v>
      </c>
      <c r="K200" s="120">
        <f t="shared" si="73"/>
        <v>-28.108108108108112</v>
      </c>
      <c r="L200" s="120">
        <f t="shared" si="72"/>
        <v>-26.788990825688074</v>
      </c>
      <c r="M200" s="120">
        <f t="shared" si="72"/>
        <v>-27.454545454545453</v>
      </c>
      <c r="N200" s="179">
        <f t="shared" si="80"/>
        <v>790.06574141709302</v>
      </c>
      <c r="O200" s="179">
        <f t="shared" si="81"/>
        <v>717.65002945879985</v>
      </c>
      <c r="P200" s="179">
        <f t="shared" si="82"/>
        <v>753.75206611570241</v>
      </c>
    </row>
    <row r="201" spans="1:16">
      <c r="A201" s="24" t="s">
        <v>109</v>
      </c>
      <c r="B201" s="24" t="s">
        <v>43</v>
      </c>
      <c r="C201" s="8">
        <v>1.44</v>
      </c>
      <c r="D201" s="32">
        <v>1.39</v>
      </c>
      <c r="E201" s="63">
        <v>1.27</v>
      </c>
      <c r="F201" s="32">
        <v>1.44</v>
      </c>
      <c r="G201" s="32">
        <v>1.45</v>
      </c>
      <c r="H201" s="33">
        <f t="shared" si="71"/>
        <v>0.69444444444444509</v>
      </c>
      <c r="J201" s="125">
        <v>1.1419999999999999</v>
      </c>
      <c r="K201" s="120">
        <f t="shared" si="73"/>
        <v>-20.694444444444446</v>
      </c>
      <c r="L201" s="120">
        <f t="shared" si="72"/>
        <v>-17.841726618705039</v>
      </c>
      <c r="M201" s="120">
        <f t="shared" si="72"/>
        <v>-10.078740157480324</v>
      </c>
      <c r="N201" s="179">
        <f t="shared" si="80"/>
        <v>428.26003086419763</v>
      </c>
      <c r="O201" s="179">
        <f t="shared" si="81"/>
        <v>318.32720873660793</v>
      </c>
      <c r="P201" s="179">
        <f t="shared" si="82"/>
        <v>101.5810031620065</v>
      </c>
    </row>
    <row r="202" spans="1:16">
      <c r="A202" s="26" t="s">
        <v>157</v>
      </c>
      <c r="B202" s="26" t="s">
        <v>138</v>
      </c>
      <c r="C202" s="27">
        <v>0.1</v>
      </c>
      <c r="D202" s="34">
        <v>0.11</v>
      </c>
      <c r="E202" s="64">
        <v>0.11</v>
      </c>
      <c r="F202" s="34">
        <v>0.08</v>
      </c>
      <c r="G202" s="34">
        <v>0.08</v>
      </c>
      <c r="H202" s="67">
        <f t="shared" si="71"/>
        <v>-20.000000000000004</v>
      </c>
      <c r="J202" s="126">
        <v>0.13800000000000001</v>
      </c>
      <c r="K202" s="120">
        <f t="shared" si="73"/>
        <v>38.000000000000007</v>
      </c>
      <c r="L202" s="120">
        <f t="shared" si="72"/>
        <v>25.454545454545464</v>
      </c>
      <c r="M202" s="120">
        <f t="shared" si="72"/>
        <v>25.454545454545464</v>
      </c>
      <c r="N202" s="179"/>
      <c r="O202" s="179"/>
      <c r="P202" s="179"/>
    </row>
    <row r="203" spans="1:16">
      <c r="A203" s="20" t="s">
        <v>119</v>
      </c>
      <c r="B203" s="20" t="s">
        <v>19</v>
      </c>
      <c r="C203" s="21">
        <v>0.52</v>
      </c>
      <c r="D203" s="31">
        <v>0.23</v>
      </c>
      <c r="E203" s="62">
        <v>0.37</v>
      </c>
      <c r="F203" s="31">
        <v>0.42</v>
      </c>
      <c r="G203" s="31">
        <v>0.76</v>
      </c>
      <c r="H203" s="73">
        <f t="shared" si="71"/>
        <v>46.153846153846153</v>
      </c>
      <c r="J203" s="127">
        <v>0.84</v>
      </c>
      <c r="K203" s="120">
        <f t="shared" si="73"/>
        <v>61.538461538461533</v>
      </c>
      <c r="L203" s="120">
        <f t="shared" si="72"/>
        <v>265.21739130434781</v>
      </c>
      <c r="M203" s="120">
        <f t="shared" si="72"/>
        <v>127.02702702702703</v>
      </c>
      <c r="N203" s="179"/>
      <c r="O203" s="179"/>
      <c r="P203" s="179"/>
    </row>
    <row r="204" spans="1:16">
      <c r="A204" s="26" t="s">
        <v>120</v>
      </c>
      <c r="B204" s="26" t="s">
        <v>44</v>
      </c>
      <c r="C204" s="27">
        <v>1.43</v>
      </c>
      <c r="D204" s="34">
        <v>1.32</v>
      </c>
      <c r="E204" s="64">
        <v>1.57</v>
      </c>
      <c r="F204" s="34">
        <v>1.84</v>
      </c>
      <c r="G204" s="34">
        <v>1.38</v>
      </c>
      <c r="H204" s="39">
        <f t="shared" si="71"/>
        <v>-3.4965034965034998</v>
      </c>
      <c r="J204" s="125">
        <v>1.663</v>
      </c>
      <c r="K204" s="120">
        <f t="shared" si="73"/>
        <v>16.293706293706304</v>
      </c>
      <c r="L204" s="120">
        <f t="shared" si="72"/>
        <v>25.984848484848481</v>
      </c>
      <c r="M204" s="120">
        <f t="shared" si="72"/>
        <v>5.92356687898089</v>
      </c>
      <c r="N204" s="179">
        <f t="shared" si="80"/>
        <v>265.48486478556441</v>
      </c>
      <c r="O204" s="179">
        <f t="shared" si="81"/>
        <v>675.21235078053235</v>
      </c>
      <c r="P204" s="179">
        <f t="shared" si="82"/>
        <v>35.088644569759403</v>
      </c>
    </row>
    <row r="205" spans="1:16">
      <c r="A205" s="24"/>
      <c r="B205" s="24"/>
      <c r="C205" s="8"/>
      <c r="D205" s="32"/>
      <c r="E205" s="63"/>
      <c r="F205" s="32"/>
      <c r="G205" s="32"/>
      <c r="H205" s="33"/>
      <c r="J205" s="41"/>
      <c r="K205" s="142">
        <f>SQRT(AVERAGE(N190:N204))</f>
        <v>15.954215979412611</v>
      </c>
      <c r="L205" s="142">
        <f t="shared" ref="L205" si="83">SQRT(AVERAGE(O190:O204))</f>
        <v>33.364484733743602</v>
      </c>
      <c r="M205" s="142">
        <f t="shared" ref="M205" si="84">SQRT(AVERAGE(P190:P204))</f>
        <v>29.019518127209054</v>
      </c>
    </row>
    <row r="206" spans="1:16">
      <c r="J206" s="112" t="s">
        <v>204</v>
      </c>
      <c r="K206" s="122">
        <f>COUNTIF(K187:K204,"&gt;=-10")-COUNTIF(K187:K204,"&gt;10")</f>
        <v>9</v>
      </c>
      <c r="L206" s="122">
        <f>COUNTIF(L187:L204,"&gt;=-10")-COUNTIF(L187:L204,"&gt;10")</f>
        <v>7</v>
      </c>
      <c r="M206" s="122">
        <f>COUNTIF(M187:M204,"&gt;=-10")-COUNTIF(M187:M204,"&gt;10")</f>
        <v>9</v>
      </c>
    </row>
    <row r="207" spans="1:16">
      <c r="J207" s="115" t="s">
        <v>205</v>
      </c>
      <c r="K207" s="123">
        <f>COUNTIF(K187:K204,"&gt;=-20")-COUNTIF(K187:K204,"&gt;20")</f>
        <v>14</v>
      </c>
      <c r="L207" s="123">
        <f>COUNTIF(L187:L204,"&gt;=-20")-COUNTIF(L187:L204,"&gt;20")</f>
        <v>10</v>
      </c>
      <c r="M207" s="123">
        <f>COUNTIF(M187:M204,"&gt;=-20")-COUNTIF(M187:M204,"&gt;20")</f>
        <v>12</v>
      </c>
    </row>
    <row r="208" spans="1:16" ht="17" thickBot="1">
      <c r="J208" s="111" t="s">
        <v>190</v>
      </c>
      <c r="K208" s="124">
        <f>COUNTIF(K187:K204,"&lt;-50")+COUNTIF(K187:K204,"&gt;50")</f>
        <v>1</v>
      </c>
      <c r="L208" s="124">
        <f>COUNTIF(L187:L204,"&lt;-50")+COUNTIF(L187:L204,"&gt;50")</f>
        <v>2</v>
      </c>
      <c r="M208" s="124">
        <f>COUNTIF(M187:M204,"&lt;-50")+COUNTIF(M187:M204,"&gt;50")</f>
        <v>2</v>
      </c>
    </row>
    <row r="209" spans="1:16">
      <c r="J209" s="114"/>
      <c r="K209" s="140"/>
      <c r="L209" s="140"/>
      <c r="M209" s="119"/>
    </row>
    <row r="210" spans="1:16" ht="17" thickBot="1">
      <c r="J210" s="114"/>
      <c r="K210" s="140" t="s">
        <v>186</v>
      </c>
      <c r="L210" s="140" t="s">
        <v>186</v>
      </c>
      <c r="M210" s="119"/>
    </row>
    <row r="211" spans="1:16" ht="33" thickBot="1">
      <c r="A211" s="58" t="s">
        <v>158</v>
      </c>
      <c r="B211" s="53" t="s">
        <v>180</v>
      </c>
      <c r="C211" s="54" t="s">
        <v>196</v>
      </c>
      <c r="D211" s="55" t="s">
        <v>22</v>
      </c>
      <c r="E211" s="106" t="s">
        <v>203</v>
      </c>
      <c r="F211" s="55" t="s">
        <v>89</v>
      </c>
      <c r="G211" s="55"/>
      <c r="H211" s="66"/>
      <c r="J211" s="155" t="s">
        <v>206</v>
      </c>
      <c r="K211" s="148" t="s">
        <v>207</v>
      </c>
      <c r="L211" s="148" t="s">
        <v>208</v>
      </c>
      <c r="M211" s="148" t="s">
        <v>209</v>
      </c>
    </row>
    <row r="212" spans="1:16">
      <c r="A212" s="24" t="s">
        <v>168</v>
      </c>
      <c r="B212" s="24" t="s">
        <v>176</v>
      </c>
      <c r="C212" s="97">
        <v>1.31</v>
      </c>
      <c r="D212" s="98">
        <v>1.31</v>
      </c>
      <c r="E212" s="107">
        <f>100*(D212-C212)/C212</f>
        <v>0</v>
      </c>
      <c r="F212" s="98">
        <v>1.43</v>
      </c>
      <c r="G212" s="32"/>
      <c r="H212" s="32"/>
      <c r="J212" s="156">
        <v>1.4259999999999999</v>
      </c>
      <c r="K212" s="158">
        <f>100*($J212-C212)/C212</f>
        <v>8.8549618320610577</v>
      </c>
      <c r="L212" s="158">
        <f>100*($J212-D212)/D212</f>
        <v>8.8549618320610577</v>
      </c>
      <c r="M212" s="158">
        <f>100*($J212-F212)/F212</f>
        <v>-0.27972027972027996</v>
      </c>
      <c r="N212" s="181">
        <f>SQRT(AVERAGE(K212^2,L212^2,M212^2))</f>
        <v>7.2318494990194369</v>
      </c>
    </row>
    <row r="213" spans="1:16">
      <c r="A213" s="24" t="s">
        <v>174</v>
      </c>
      <c r="B213" s="24">
        <v>1216</v>
      </c>
      <c r="C213" s="97">
        <v>34.200000000000003</v>
      </c>
      <c r="D213" s="98">
        <v>32.1</v>
      </c>
      <c r="E213" s="107">
        <f t="shared" ref="E213:E242" si="85">100*(D213-C213)/C213</f>
        <v>-6.1403508771929864</v>
      </c>
      <c r="F213" s="98">
        <v>31.5</v>
      </c>
      <c r="G213" s="63"/>
      <c r="H213" s="63"/>
      <c r="J213" s="125">
        <v>35.729999999999997</v>
      </c>
      <c r="K213" s="120">
        <f t="shared" ref="K213:L242" si="86">100*($J213-C213)/C213</f>
        <v>4.4736842105262982</v>
      </c>
      <c r="L213" s="120">
        <f t="shared" si="86"/>
        <v>11.308411214953257</v>
      </c>
      <c r="M213" s="120">
        <f t="shared" ref="M213:M242" si="87">100*($J213-F213)/F213</f>
        <v>13.428571428571418</v>
      </c>
    </row>
    <row r="214" spans="1:16">
      <c r="A214" s="24" t="s">
        <v>152</v>
      </c>
      <c r="B214" s="24">
        <v>5876</v>
      </c>
      <c r="C214" s="97">
        <v>0.12</v>
      </c>
      <c r="D214" s="98">
        <v>0.13</v>
      </c>
      <c r="E214" s="107">
        <f t="shared" si="85"/>
        <v>8.333333333333341</v>
      </c>
      <c r="F214" s="98">
        <v>0.13</v>
      </c>
      <c r="G214" s="32"/>
      <c r="H214" s="32"/>
      <c r="J214" s="125">
        <v>0.10299999999999999</v>
      </c>
      <c r="K214" s="120">
        <f t="shared" si="86"/>
        <v>-14.166666666666668</v>
      </c>
      <c r="L214" s="120">
        <f t="shared" si="86"/>
        <v>-20.769230769230777</v>
      </c>
      <c r="M214" s="120">
        <f t="shared" si="87"/>
        <v>-20.769230769230777</v>
      </c>
    </row>
    <row r="215" spans="1:16">
      <c r="A215" s="24" t="s">
        <v>159</v>
      </c>
      <c r="B215" s="24">
        <v>4686</v>
      </c>
      <c r="C215" s="97">
        <v>0.24</v>
      </c>
      <c r="D215" s="98">
        <v>0.25</v>
      </c>
      <c r="E215" s="107">
        <f t="shared" si="85"/>
        <v>4.1666666666666705</v>
      </c>
      <c r="F215" s="98">
        <v>0.23</v>
      </c>
      <c r="G215" s="32"/>
      <c r="H215" s="32"/>
      <c r="J215" s="125">
        <v>0.22800000000000001</v>
      </c>
      <c r="K215" s="120">
        <f t="shared" si="86"/>
        <v>-4.9999999999999938</v>
      </c>
      <c r="L215" s="120">
        <f t="shared" si="86"/>
        <v>-8.7999999999999972</v>
      </c>
      <c r="M215" s="120">
        <f t="shared" si="87"/>
        <v>-0.8695652173913051</v>
      </c>
    </row>
    <row r="216" spans="1:16" ht="17" thickBot="1">
      <c r="A216" s="26" t="s">
        <v>159</v>
      </c>
      <c r="B216" s="26">
        <v>1640</v>
      </c>
      <c r="C216" s="99">
        <v>1.6</v>
      </c>
      <c r="D216" s="100">
        <v>1.74</v>
      </c>
      <c r="E216" s="107">
        <f t="shared" si="85"/>
        <v>8.7499999999999929</v>
      </c>
      <c r="F216" s="100">
        <v>1.56</v>
      </c>
      <c r="G216" s="34"/>
      <c r="H216" s="34"/>
      <c r="J216" s="129">
        <v>1.607</v>
      </c>
      <c r="K216" s="121">
        <f t="shared" si="86"/>
        <v>0.43749999999999345</v>
      </c>
      <c r="L216" s="121">
        <f t="shared" si="86"/>
        <v>-7.6436781609195403</v>
      </c>
      <c r="M216" s="121">
        <f t="shared" si="87"/>
        <v>3.0128205128205083</v>
      </c>
    </row>
    <row r="217" spans="1:16">
      <c r="A217" s="20" t="s">
        <v>92</v>
      </c>
      <c r="B217" s="20" t="s">
        <v>176</v>
      </c>
      <c r="C217" s="101">
        <v>125</v>
      </c>
      <c r="D217" s="102">
        <v>128</v>
      </c>
      <c r="E217" s="107">
        <f>100*(D217-C217)/C217</f>
        <v>2.4</v>
      </c>
      <c r="F217" s="102">
        <v>131</v>
      </c>
      <c r="G217" s="31"/>
      <c r="H217" s="31"/>
      <c r="J217" s="156">
        <v>139.28</v>
      </c>
      <c r="K217" s="158">
        <f t="shared" ref="K217:L219" si="88">100*($J217-C217)/C217</f>
        <v>11.423999999999999</v>
      </c>
      <c r="L217" s="158">
        <f t="shared" si="88"/>
        <v>8.8125</v>
      </c>
      <c r="M217" s="158">
        <f>100*($J217-F217)/F217</f>
        <v>6.320610687022902</v>
      </c>
    </row>
    <row r="218" spans="1:16">
      <c r="A218" s="24" t="s">
        <v>122</v>
      </c>
      <c r="B218" s="24" t="s">
        <v>144</v>
      </c>
      <c r="C218" s="97">
        <v>1.7</v>
      </c>
      <c r="D218" s="98">
        <v>1.7</v>
      </c>
      <c r="E218" s="107">
        <f>100*(D218-C218)/C218</f>
        <v>0</v>
      </c>
      <c r="F218" s="98">
        <v>1.68</v>
      </c>
      <c r="G218" s="32"/>
      <c r="H218" s="32"/>
      <c r="J218" s="125">
        <v>1.7370000000000001</v>
      </c>
      <c r="K218" s="120">
        <f t="shared" si="88"/>
        <v>2.1764705882353028</v>
      </c>
      <c r="L218" s="120">
        <f t="shared" si="88"/>
        <v>2.1764705882353028</v>
      </c>
      <c r="M218" s="120">
        <f>100*($J218-F218)/F218</f>
        <v>3.3928571428571526</v>
      </c>
    </row>
    <row r="219" spans="1:16" ht="17" thickBot="1">
      <c r="A219" s="46" t="s">
        <v>9</v>
      </c>
      <c r="B219" s="24" t="s">
        <v>144</v>
      </c>
      <c r="C219" s="97">
        <v>1.17</v>
      </c>
      <c r="D219" s="98">
        <v>1.24</v>
      </c>
      <c r="E219" s="107">
        <f>100*(D219-C219)/C219</f>
        <v>5.9829059829059883</v>
      </c>
      <c r="F219" s="98">
        <v>1.2</v>
      </c>
      <c r="G219" s="43"/>
      <c r="H219" s="43"/>
      <c r="J219" s="129">
        <v>1.2549999999999999</v>
      </c>
      <c r="K219" s="121">
        <f t="shared" si="88"/>
        <v>7.2649572649572622</v>
      </c>
      <c r="L219" s="121">
        <f t="shared" si="88"/>
        <v>1.2096774193548308</v>
      </c>
      <c r="M219" s="121">
        <f>100*($J219-F219)/F219</f>
        <v>4.5833333333333286</v>
      </c>
      <c r="N219" s="181">
        <f>SQRT(AVERAGE(K219^2,L219^2,M219^2))</f>
        <v>5.0083220065871918</v>
      </c>
    </row>
    <row r="220" spans="1:16" ht="17" thickBot="1">
      <c r="A220" s="24"/>
      <c r="B220" s="24"/>
      <c r="C220" s="97"/>
      <c r="D220" s="98"/>
      <c r="E220" s="107"/>
      <c r="F220" s="98"/>
      <c r="G220" s="32"/>
      <c r="H220" s="32"/>
      <c r="J220" s="125"/>
      <c r="K220" s="177">
        <f>SQRT(AVERAGE(K213^2,K214^2,K215^2,K216^2,K217^2,K218^2,K219^2))</f>
        <v>7.8733193707162075</v>
      </c>
      <c r="L220" s="177">
        <f t="shared" ref="L220" si="89">SQRT(AVERAGE(L213^2,L214^2,L215^2,L216^2,L217^2,L218^2,L219^2))</f>
        <v>10.548983882753229</v>
      </c>
      <c r="M220" s="178">
        <f t="shared" ref="M220" si="90">SQRT(AVERAGE(M213^2,M214^2,M215^2,M216^2,M217^2,M218^2,M219^2))</f>
        <v>9.9569735215416095</v>
      </c>
    </row>
    <row r="221" spans="1:16">
      <c r="A221" s="20" t="s">
        <v>26</v>
      </c>
      <c r="B221" s="20" t="s">
        <v>36</v>
      </c>
      <c r="C221" s="101">
        <v>2.82</v>
      </c>
      <c r="D221" s="102">
        <v>2.99</v>
      </c>
      <c r="E221" s="107">
        <f t="shared" si="85"/>
        <v>6.0283687943262541</v>
      </c>
      <c r="F221" s="102">
        <v>2.83</v>
      </c>
      <c r="G221" s="31"/>
      <c r="H221" s="31"/>
      <c r="J221" s="125">
        <v>3.5409999999999999</v>
      </c>
      <c r="K221" s="120">
        <f t="shared" si="86"/>
        <v>25.567375886524829</v>
      </c>
      <c r="L221" s="120">
        <f t="shared" si="86"/>
        <v>18.428093645484939</v>
      </c>
      <c r="M221" s="120">
        <f t="shared" si="87"/>
        <v>25.123674911660771</v>
      </c>
      <c r="N221" s="179">
        <f t="shared" ref="N221" si="91">K221^2</f>
        <v>653.69070972285124</v>
      </c>
      <c r="O221" s="179">
        <f t="shared" ref="O221" si="92">L221^2</f>
        <v>339.59463540676239</v>
      </c>
      <c r="P221" s="179">
        <f t="shared" ref="P221" si="93">M221^2</f>
        <v>631.19904106681281</v>
      </c>
    </row>
    <row r="222" spans="1:16">
      <c r="A222" s="26" t="s">
        <v>153</v>
      </c>
      <c r="B222" s="26" t="s">
        <v>131</v>
      </c>
      <c r="C222" s="99">
        <v>3.18</v>
      </c>
      <c r="D222" s="100">
        <v>3.85</v>
      </c>
      <c r="E222" s="105">
        <f t="shared" si="85"/>
        <v>21.069182389937104</v>
      </c>
      <c r="F222" s="100">
        <v>3.17</v>
      </c>
      <c r="G222" s="34"/>
      <c r="H222" s="34"/>
      <c r="J222" s="126">
        <v>3.7719999999999998</v>
      </c>
      <c r="K222" s="120">
        <f t="shared" si="86"/>
        <v>18.616352201257847</v>
      </c>
      <c r="L222" s="120">
        <f t="shared" si="86"/>
        <v>-2.0259740259740333</v>
      </c>
      <c r="M222" s="120">
        <f t="shared" si="87"/>
        <v>18.990536277602519</v>
      </c>
      <c r="N222" s="179">
        <f t="shared" ref="N222:N241" si="94">K222^2</f>
        <v>346.56856928127786</v>
      </c>
      <c r="O222" s="179">
        <f t="shared" ref="O222:O241" si="95">L222^2</f>
        <v>4.1045707539214327</v>
      </c>
      <c r="P222" s="179">
        <f t="shared" ref="P222:P241" si="96">M222^2</f>
        <v>360.64046811093738</v>
      </c>
    </row>
    <row r="223" spans="1:16">
      <c r="A223" s="20" t="s">
        <v>160</v>
      </c>
      <c r="B223" s="20" t="s">
        <v>13</v>
      </c>
      <c r="C223" s="101">
        <v>2.33</v>
      </c>
      <c r="D223" s="102">
        <v>3.2</v>
      </c>
      <c r="E223" s="105">
        <f t="shared" si="85"/>
        <v>37.33905579399142</v>
      </c>
      <c r="F223" s="102">
        <v>2.67</v>
      </c>
      <c r="G223" s="31"/>
      <c r="H223" s="31"/>
      <c r="J223" s="127">
        <v>0.95399999999999996</v>
      </c>
      <c r="K223" s="120">
        <f t="shared" si="86"/>
        <v>-59.055793991416316</v>
      </c>
      <c r="L223" s="120">
        <f t="shared" si="86"/>
        <v>-70.187500000000014</v>
      </c>
      <c r="M223" s="120">
        <f t="shared" si="87"/>
        <v>-64.269662921348313</v>
      </c>
      <c r="N223" s="179"/>
      <c r="O223" s="179"/>
      <c r="P223" s="179"/>
    </row>
    <row r="224" spans="1:16">
      <c r="A224" s="24" t="s">
        <v>161</v>
      </c>
      <c r="B224" s="24" t="s">
        <v>132</v>
      </c>
      <c r="C224" s="97">
        <v>0.19</v>
      </c>
      <c r="D224" s="98">
        <v>0.24</v>
      </c>
      <c r="E224" s="105">
        <f t="shared" si="85"/>
        <v>26.315789473684205</v>
      </c>
      <c r="F224" s="98">
        <v>0.22</v>
      </c>
      <c r="G224" s="32"/>
      <c r="H224" s="32"/>
      <c r="J224" s="125">
        <v>0.19</v>
      </c>
      <c r="K224" s="120">
        <f t="shared" si="86"/>
        <v>0</v>
      </c>
      <c r="L224" s="120">
        <f t="shared" si="86"/>
        <v>-20.833333333333332</v>
      </c>
      <c r="M224" s="120">
        <f t="shared" si="87"/>
        <v>-13.636363636363637</v>
      </c>
      <c r="N224" s="179">
        <f t="shared" si="94"/>
        <v>0</v>
      </c>
      <c r="O224" s="179">
        <f t="shared" si="95"/>
        <v>434.02777777777771</v>
      </c>
      <c r="P224" s="179">
        <f t="shared" si="96"/>
        <v>185.95041322314052</v>
      </c>
    </row>
    <row r="225" spans="1:16">
      <c r="A225" s="26" t="s">
        <v>162</v>
      </c>
      <c r="B225" s="26" t="s">
        <v>133</v>
      </c>
      <c r="C225" s="99">
        <v>0.2</v>
      </c>
      <c r="D225" s="100">
        <v>0.23</v>
      </c>
      <c r="E225" s="108">
        <f t="shared" si="85"/>
        <v>15</v>
      </c>
      <c r="F225" s="100">
        <v>0.21</v>
      </c>
      <c r="G225" s="34"/>
      <c r="H225" s="34"/>
      <c r="J225" s="126">
        <v>0.33700000000000002</v>
      </c>
      <c r="K225" s="120">
        <f t="shared" si="86"/>
        <v>68.5</v>
      </c>
      <c r="L225" s="120">
        <f t="shared" si="86"/>
        <v>46.521739130434788</v>
      </c>
      <c r="M225" s="120">
        <f t="shared" si="87"/>
        <v>60.476190476190489</v>
      </c>
      <c r="N225" s="179"/>
      <c r="O225" s="179"/>
      <c r="P225" s="179"/>
    </row>
    <row r="226" spans="1:16">
      <c r="A226" s="20" t="s">
        <v>169</v>
      </c>
      <c r="B226" s="20" t="s">
        <v>135</v>
      </c>
      <c r="C226" s="101">
        <v>1.61</v>
      </c>
      <c r="D226" s="102">
        <v>1.61</v>
      </c>
      <c r="E226" s="107">
        <f t="shared" si="85"/>
        <v>0</v>
      </c>
      <c r="F226" s="102">
        <v>1.31</v>
      </c>
      <c r="G226" s="31"/>
      <c r="H226" s="31"/>
      <c r="J226" s="127">
        <v>1.7749999999999999</v>
      </c>
      <c r="K226" s="120">
        <f t="shared" si="86"/>
        <v>10.248447204968933</v>
      </c>
      <c r="L226" s="120">
        <f t="shared" si="86"/>
        <v>10.248447204968933</v>
      </c>
      <c r="M226" s="120">
        <f t="shared" si="87"/>
        <v>35.496183206106856</v>
      </c>
      <c r="N226" s="179">
        <f t="shared" si="94"/>
        <v>105.03067011303554</v>
      </c>
      <c r="O226" s="179">
        <f t="shared" si="95"/>
        <v>105.03067011303554</v>
      </c>
      <c r="P226" s="179">
        <f t="shared" si="96"/>
        <v>1259.9790222015024</v>
      </c>
    </row>
    <row r="227" spans="1:16">
      <c r="A227" s="24" t="s">
        <v>169</v>
      </c>
      <c r="B227" s="24" t="s">
        <v>175</v>
      </c>
      <c r="C227" s="97">
        <v>1.1200000000000001</v>
      </c>
      <c r="D227" s="98">
        <v>1.1299999999999999</v>
      </c>
      <c r="E227" s="107">
        <f t="shared" si="85"/>
        <v>0.8928571428571237</v>
      </c>
      <c r="F227" s="98">
        <v>1.44</v>
      </c>
      <c r="G227" s="32"/>
      <c r="H227" s="32"/>
      <c r="J227" s="125">
        <v>0.83499999999999996</v>
      </c>
      <c r="K227" s="120">
        <f t="shared" si="86"/>
        <v>-25.44642857142858</v>
      </c>
      <c r="L227" s="120">
        <f t="shared" si="86"/>
        <v>-26.106194690265482</v>
      </c>
      <c r="M227" s="120">
        <f t="shared" si="87"/>
        <v>-42.013888888888893</v>
      </c>
      <c r="N227" s="179">
        <f t="shared" si="94"/>
        <v>647.52072704081672</v>
      </c>
      <c r="O227" s="179">
        <f t="shared" si="95"/>
        <v>681.53340120604571</v>
      </c>
      <c r="P227" s="179">
        <f t="shared" si="96"/>
        <v>1765.1668595679016</v>
      </c>
    </row>
    <row r="228" spans="1:16">
      <c r="A228" s="24" t="s">
        <v>170</v>
      </c>
      <c r="B228" s="24" t="s">
        <v>14</v>
      </c>
      <c r="C228" s="97">
        <v>1.72</v>
      </c>
      <c r="D228" s="98">
        <v>1.44</v>
      </c>
      <c r="E228" s="108">
        <f t="shared" si="85"/>
        <v>-16.279069767441865</v>
      </c>
      <c r="F228" s="98">
        <v>1.3</v>
      </c>
      <c r="G228" s="32"/>
      <c r="H228" s="32"/>
      <c r="J228" s="125">
        <v>1.244</v>
      </c>
      <c r="K228" s="120">
        <f t="shared" si="86"/>
        <v>-27.674418604651159</v>
      </c>
      <c r="L228" s="120">
        <f t="shared" si="86"/>
        <v>-13.611111111111107</v>
      </c>
      <c r="M228" s="120">
        <f t="shared" si="87"/>
        <v>-4.307692307692311</v>
      </c>
      <c r="N228" s="179">
        <f t="shared" si="94"/>
        <v>765.87344510546222</v>
      </c>
      <c r="O228" s="179">
        <f t="shared" si="95"/>
        <v>185.26234567901224</v>
      </c>
      <c r="P228" s="179">
        <f t="shared" si="96"/>
        <v>18.556213017751507</v>
      </c>
    </row>
    <row r="229" spans="1:16">
      <c r="A229" s="24" t="s">
        <v>171</v>
      </c>
      <c r="B229" s="24" t="s">
        <v>173</v>
      </c>
      <c r="C229" s="97">
        <v>0.56000000000000005</v>
      </c>
      <c r="D229" s="98">
        <v>0.63</v>
      </c>
      <c r="E229" s="108">
        <f t="shared" si="85"/>
        <v>12.499999999999989</v>
      </c>
      <c r="F229" s="98">
        <v>0.56999999999999995</v>
      </c>
      <c r="G229" s="32"/>
      <c r="H229" s="32"/>
      <c r="J229" s="125">
        <v>0.52200000000000002</v>
      </c>
      <c r="K229" s="120">
        <f t="shared" si="86"/>
        <v>-6.7857142857142909</v>
      </c>
      <c r="L229" s="120">
        <f t="shared" si="86"/>
        <v>-17.142857142857142</v>
      </c>
      <c r="M229" s="120">
        <f t="shared" si="87"/>
        <v>-8.4210526315789362</v>
      </c>
      <c r="N229" s="179">
        <f t="shared" si="94"/>
        <v>46.045918367347006</v>
      </c>
      <c r="O229" s="179">
        <f t="shared" si="95"/>
        <v>293.87755102040813</v>
      </c>
      <c r="P229" s="179">
        <f t="shared" si="96"/>
        <v>70.914127423822521</v>
      </c>
    </row>
    <row r="230" spans="1:16">
      <c r="A230" s="24" t="s">
        <v>172</v>
      </c>
      <c r="B230" s="24" t="s">
        <v>41</v>
      </c>
      <c r="C230" s="97">
        <v>33.1</v>
      </c>
      <c r="D230" s="98">
        <v>34.5</v>
      </c>
      <c r="E230" s="107">
        <f t="shared" si="85"/>
        <v>4.2296072507552829</v>
      </c>
      <c r="F230" s="98">
        <v>32.799999999999997</v>
      </c>
      <c r="G230" s="32"/>
      <c r="H230" s="32"/>
      <c r="J230" s="125">
        <v>34.177999999999997</v>
      </c>
      <c r="K230" s="120">
        <f t="shared" si="86"/>
        <v>3.2567975830815583</v>
      </c>
      <c r="L230" s="120">
        <f t="shared" si="86"/>
        <v>-0.93333333333334123</v>
      </c>
      <c r="M230" s="120">
        <f t="shared" si="87"/>
        <v>4.2012195121951228</v>
      </c>
      <c r="N230" s="179">
        <f t="shared" si="94"/>
        <v>10.606730497165879</v>
      </c>
      <c r="O230" s="179">
        <f t="shared" si="95"/>
        <v>0.87111111111112582</v>
      </c>
      <c r="P230" s="179">
        <f t="shared" si="96"/>
        <v>17.650245389649026</v>
      </c>
    </row>
    <row r="231" spans="1:16">
      <c r="A231" s="24" t="s">
        <v>172</v>
      </c>
      <c r="B231" s="24">
        <v>4363</v>
      </c>
      <c r="C231" s="97">
        <v>0.32</v>
      </c>
      <c r="D231" s="98">
        <v>0.34</v>
      </c>
      <c r="E231" s="107">
        <f t="shared" si="85"/>
        <v>6.2500000000000053</v>
      </c>
      <c r="F231" s="98">
        <v>0.3</v>
      </c>
      <c r="G231" s="32"/>
      <c r="H231" s="32"/>
      <c r="J231" s="125">
        <v>0.312</v>
      </c>
      <c r="K231" s="120">
        <f t="shared" si="86"/>
        <v>-2.5000000000000022</v>
      </c>
      <c r="L231" s="120">
        <f t="shared" si="86"/>
        <v>-8.2352941176470651</v>
      </c>
      <c r="M231" s="120">
        <f t="shared" si="87"/>
        <v>4.0000000000000036</v>
      </c>
      <c r="N231" s="179">
        <f t="shared" si="94"/>
        <v>6.2500000000000115</v>
      </c>
      <c r="O231" s="179">
        <f t="shared" si="95"/>
        <v>67.820069204152347</v>
      </c>
      <c r="P231" s="179">
        <f t="shared" si="96"/>
        <v>16.000000000000028</v>
      </c>
    </row>
    <row r="232" spans="1:16">
      <c r="A232" s="26" t="s">
        <v>163</v>
      </c>
      <c r="B232" s="26" t="s">
        <v>136</v>
      </c>
      <c r="C232" s="99">
        <v>0.36</v>
      </c>
      <c r="D232" s="100">
        <v>0.3</v>
      </c>
      <c r="E232" s="108">
        <f t="shared" si="85"/>
        <v>-16.666666666666668</v>
      </c>
      <c r="F232" s="100">
        <v>0.42</v>
      </c>
      <c r="G232" s="34"/>
      <c r="H232" s="34"/>
      <c r="J232" s="126">
        <v>0.42499999999999999</v>
      </c>
      <c r="K232" s="120">
        <f t="shared" si="86"/>
        <v>18.055555555555557</v>
      </c>
      <c r="L232" s="120">
        <f t="shared" si="86"/>
        <v>41.666666666666671</v>
      </c>
      <c r="M232" s="120">
        <f t="shared" si="87"/>
        <v>1.1904761904761916</v>
      </c>
      <c r="N232" s="179">
        <f t="shared" si="94"/>
        <v>326.00308641975312</v>
      </c>
      <c r="O232" s="179">
        <f t="shared" si="95"/>
        <v>1736.1111111111115</v>
      </c>
      <c r="P232" s="179">
        <f t="shared" si="96"/>
        <v>1.4172335600907056</v>
      </c>
    </row>
    <row r="233" spans="1:16">
      <c r="A233" s="20" t="s">
        <v>164</v>
      </c>
      <c r="B233" s="20" t="s">
        <v>42</v>
      </c>
      <c r="C233" s="101">
        <v>1.89</v>
      </c>
      <c r="D233" s="102">
        <v>2.0099999999999998</v>
      </c>
      <c r="E233" s="107">
        <f t="shared" si="85"/>
        <v>6.3492063492063435</v>
      </c>
      <c r="F233" s="102">
        <v>2.0499999999999998</v>
      </c>
      <c r="G233" s="31"/>
      <c r="H233" s="31"/>
      <c r="J233" s="127">
        <v>1.2809999999999999</v>
      </c>
      <c r="K233" s="120">
        <f t="shared" si="86"/>
        <v>-32.222222222222221</v>
      </c>
      <c r="L233" s="120">
        <f t="shared" si="86"/>
        <v>-36.268656716417908</v>
      </c>
      <c r="M233" s="120">
        <f t="shared" si="87"/>
        <v>-37.512195121951216</v>
      </c>
      <c r="N233" s="179">
        <f t="shared" si="94"/>
        <v>1038.2716049382716</v>
      </c>
      <c r="O233" s="179">
        <f t="shared" si="95"/>
        <v>1315.4154600133659</v>
      </c>
      <c r="P233" s="179">
        <f t="shared" si="96"/>
        <v>1407.1647828673406</v>
      </c>
    </row>
    <row r="234" spans="1:16">
      <c r="A234" s="24" t="s">
        <v>164</v>
      </c>
      <c r="B234" s="24" t="s">
        <v>43</v>
      </c>
      <c r="C234" s="97">
        <v>1.91</v>
      </c>
      <c r="D234" s="98">
        <v>2.5099999999999998</v>
      </c>
      <c r="E234" s="105">
        <f t="shared" si="85"/>
        <v>31.413612565445021</v>
      </c>
      <c r="F234" s="98">
        <v>1.72</v>
      </c>
      <c r="G234" s="32"/>
      <c r="H234" s="32"/>
      <c r="J234" s="125">
        <v>1.5649999999999999</v>
      </c>
      <c r="K234" s="120">
        <f t="shared" si="86"/>
        <v>-18.062827225130892</v>
      </c>
      <c r="L234" s="120">
        <f t="shared" si="86"/>
        <v>-37.649402390438247</v>
      </c>
      <c r="M234" s="120">
        <f t="shared" si="87"/>
        <v>-9.0116279069767469</v>
      </c>
      <c r="N234" s="179">
        <f t="shared" si="94"/>
        <v>326.26572736492977</v>
      </c>
      <c r="O234" s="179">
        <f t="shared" si="95"/>
        <v>1417.4775003571372</v>
      </c>
      <c r="P234" s="179">
        <f t="shared" si="96"/>
        <v>81.209437533802102</v>
      </c>
    </row>
    <row r="235" spans="1:16">
      <c r="A235" s="24" t="s">
        <v>157</v>
      </c>
      <c r="B235" s="24" t="s">
        <v>138</v>
      </c>
      <c r="C235" s="97">
        <v>0.44</v>
      </c>
      <c r="D235" s="98">
        <v>0.42</v>
      </c>
      <c r="E235" s="107">
        <f t="shared" si="85"/>
        <v>-4.5454545454545494</v>
      </c>
      <c r="F235" s="98">
        <v>0.41</v>
      </c>
      <c r="G235" s="32"/>
      <c r="H235" s="32"/>
      <c r="J235" s="125">
        <v>0.51800000000000002</v>
      </c>
      <c r="K235" s="120">
        <f t="shared" si="86"/>
        <v>17.72727272727273</v>
      </c>
      <c r="L235" s="120">
        <f t="shared" si="86"/>
        <v>23.333333333333339</v>
      </c>
      <c r="M235" s="120">
        <f t="shared" si="87"/>
        <v>26.341463414634159</v>
      </c>
      <c r="N235" s="179">
        <f t="shared" si="94"/>
        <v>314.25619834710756</v>
      </c>
      <c r="O235" s="179">
        <f t="shared" si="95"/>
        <v>544.44444444444468</v>
      </c>
      <c r="P235" s="179">
        <f t="shared" si="96"/>
        <v>693.87269482450984</v>
      </c>
    </row>
    <row r="236" spans="1:16">
      <c r="A236" s="26" t="s">
        <v>165</v>
      </c>
      <c r="B236" s="26" t="s">
        <v>139</v>
      </c>
      <c r="C236" s="99">
        <v>0.52</v>
      </c>
      <c r="D236" s="100">
        <v>0.55000000000000004</v>
      </c>
      <c r="E236" s="107">
        <f t="shared" si="85"/>
        <v>5.7692307692307745</v>
      </c>
      <c r="F236" s="100">
        <v>0.44</v>
      </c>
      <c r="G236" s="34"/>
      <c r="H236" s="34"/>
      <c r="J236" s="126">
        <v>0.57399999999999995</v>
      </c>
      <c r="K236" s="120">
        <f t="shared" si="86"/>
        <v>10.384615384615371</v>
      </c>
      <c r="L236" s="120">
        <f t="shared" si="86"/>
        <v>4.3636363636363473</v>
      </c>
      <c r="M236" s="120">
        <f t="shared" si="87"/>
        <v>30.454545454545443</v>
      </c>
      <c r="N236" s="179">
        <f t="shared" si="94"/>
        <v>107.84023668639024</v>
      </c>
      <c r="O236" s="179">
        <f t="shared" si="95"/>
        <v>19.041322314049445</v>
      </c>
      <c r="P236" s="179">
        <f t="shared" si="96"/>
        <v>927.47933884297447</v>
      </c>
    </row>
    <row r="237" spans="1:16">
      <c r="A237" s="48" t="s">
        <v>154</v>
      </c>
      <c r="B237" s="48" t="s">
        <v>140</v>
      </c>
      <c r="C237" s="103">
        <v>1.78</v>
      </c>
      <c r="D237" s="104">
        <v>1.72</v>
      </c>
      <c r="E237" s="107">
        <f t="shared" si="85"/>
        <v>-3.3707865168539355</v>
      </c>
      <c r="F237" s="104">
        <v>1.1200000000000001</v>
      </c>
      <c r="G237" s="52"/>
      <c r="H237" s="52"/>
      <c r="J237" s="146">
        <v>1.64</v>
      </c>
      <c r="K237" s="120">
        <f t="shared" si="86"/>
        <v>-7.8651685393258495</v>
      </c>
      <c r="L237" s="120">
        <f t="shared" si="86"/>
        <v>-4.6511627906976782</v>
      </c>
      <c r="M237" s="120">
        <f t="shared" si="87"/>
        <v>46.428571428571402</v>
      </c>
      <c r="N237" s="179">
        <f t="shared" si="94"/>
        <v>61.860876152001119</v>
      </c>
      <c r="O237" s="179">
        <f t="shared" si="95"/>
        <v>21.633315305570616</v>
      </c>
      <c r="P237" s="179">
        <f t="shared" si="96"/>
        <v>2155.6122448979568</v>
      </c>
    </row>
    <row r="238" spans="1:16">
      <c r="A238" s="48" t="s">
        <v>166</v>
      </c>
      <c r="B238" s="48" t="s">
        <v>149</v>
      </c>
      <c r="C238" s="103">
        <v>0.9</v>
      </c>
      <c r="D238" s="104">
        <v>0.96</v>
      </c>
      <c r="E238" s="107">
        <f t="shared" si="85"/>
        <v>6.6666666666666607</v>
      </c>
      <c r="F238" s="104">
        <v>0.96</v>
      </c>
      <c r="G238" s="52"/>
      <c r="H238" s="52"/>
      <c r="J238" s="146">
        <v>0.88200000000000001</v>
      </c>
      <c r="K238" s="120">
        <f t="shared" si="86"/>
        <v>-2.0000000000000018</v>
      </c>
      <c r="L238" s="120">
        <f t="shared" si="86"/>
        <v>-8.1249999999999947</v>
      </c>
      <c r="M238" s="120">
        <f t="shared" si="87"/>
        <v>-8.1249999999999947</v>
      </c>
      <c r="N238" s="179">
        <f t="shared" si="94"/>
        <v>4.0000000000000071</v>
      </c>
      <c r="O238" s="179">
        <f t="shared" si="95"/>
        <v>66.015624999999915</v>
      </c>
      <c r="P238" s="179">
        <f t="shared" si="96"/>
        <v>66.015624999999915</v>
      </c>
    </row>
    <row r="239" spans="1:16">
      <c r="A239" s="20" t="s">
        <v>32</v>
      </c>
      <c r="B239" s="20" t="s">
        <v>16</v>
      </c>
      <c r="C239" s="101">
        <v>1.33</v>
      </c>
      <c r="D239" s="102">
        <v>1.01</v>
      </c>
      <c r="E239" s="105">
        <f t="shared" si="85"/>
        <v>-24.060150375939855</v>
      </c>
      <c r="F239" s="102">
        <v>0.99</v>
      </c>
      <c r="G239" s="31"/>
      <c r="H239" s="31"/>
      <c r="J239" s="127">
        <v>0.8</v>
      </c>
      <c r="K239" s="120">
        <f t="shared" si="86"/>
        <v>-39.849624060150376</v>
      </c>
      <c r="L239" s="120">
        <f t="shared" si="86"/>
        <v>-20.792079207920789</v>
      </c>
      <c r="M239" s="120">
        <f t="shared" si="87"/>
        <v>-19.191919191919183</v>
      </c>
      <c r="N239" s="179">
        <f t="shared" si="94"/>
        <v>1587.9925377353156</v>
      </c>
      <c r="O239" s="179">
        <f t="shared" si="95"/>
        <v>432.310557788452</v>
      </c>
      <c r="P239" s="179">
        <f t="shared" si="96"/>
        <v>368.32976226915588</v>
      </c>
    </row>
    <row r="240" spans="1:16">
      <c r="A240" s="24" t="s">
        <v>167</v>
      </c>
      <c r="B240" s="24" t="s">
        <v>19</v>
      </c>
      <c r="C240" s="97">
        <v>1.88</v>
      </c>
      <c r="D240" s="98">
        <v>2.15</v>
      </c>
      <c r="E240" s="108">
        <f t="shared" si="85"/>
        <v>14.361702127659575</v>
      </c>
      <c r="F240" s="98">
        <v>1.67</v>
      </c>
      <c r="G240" s="32"/>
      <c r="H240" s="32"/>
      <c r="J240" s="125">
        <v>2.3050000000000002</v>
      </c>
      <c r="K240" s="120">
        <f t="shared" si="86"/>
        <v>22.606382978723421</v>
      </c>
      <c r="L240" s="120">
        <f t="shared" si="86"/>
        <v>7.2093023255814073</v>
      </c>
      <c r="M240" s="120">
        <f t="shared" si="87"/>
        <v>38.023952095808397</v>
      </c>
      <c r="N240" s="179">
        <f t="shared" si="94"/>
        <v>511.04855138071599</v>
      </c>
      <c r="O240" s="179">
        <f t="shared" si="95"/>
        <v>51.974040021633485</v>
      </c>
      <c r="P240" s="179">
        <f t="shared" si="96"/>
        <v>1445.8209329843319</v>
      </c>
    </row>
    <row r="241" spans="1:16">
      <c r="A241" s="24" t="s">
        <v>167</v>
      </c>
      <c r="B241" s="24" t="s">
        <v>17</v>
      </c>
      <c r="C241" s="97">
        <v>0.49</v>
      </c>
      <c r="D241" s="98">
        <v>0.61</v>
      </c>
      <c r="E241" s="105">
        <f t="shared" si="85"/>
        <v>24.489795918367346</v>
      </c>
      <c r="F241" s="98">
        <v>0.52</v>
      </c>
      <c r="G241" s="32"/>
      <c r="H241" s="32"/>
      <c r="J241" s="125">
        <v>0.59699999999999998</v>
      </c>
      <c r="K241" s="120">
        <f t="shared" si="86"/>
        <v>21.836734693877549</v>
      </c>
      <c r="L241" s="120">
        <f t="shared" si="86"/>
        <v>-2.1311475409836085</v>
      </c>
      <c r="M241" s="120">
        <f t="shared" si="87"/>
        <v>14.807692307692299</v>
      </c>
      <c r="N241" s="179">
        <f t="shared" si="94"/>
        <v>476.84298209079543</v>
      </c>
      <c r="O241" s="179">
        <f t="shared" si="95"/>
        <v>4.5417898414404814</v>
      </c>
      <c r="P241" s="179">
        <f t="shared" si="96"/>
        <v>219.2677514792897</v>
      </c>
    </row>
    <row r="242" spans="1:16">
      <c r="A242" s="26" t="s">
        <v>33</v>
      </c>
      <c r="B242" s="26" t="s">
        <v>44</v>
      </c>
      <c r="C242" s="99">
        <v>1.05</v>
      </c>
      <c r="D242" s="100">
        <v>1.24</v>
      </c>
      <c r="E242" s="108">
        <f t="shared" si="85"/>
        <v>18.095238095238088</v>
      </c>
      <c r="F242" s="100">
        <v>0.94</v>
      </c>
      <c r="G242" s="34"/>
      <c r="H242" s="34"/>
      <c r="J242" s="125">
        <v>1.7709999999999999</v>
      </c>
      <c r="K242" s="120">
        <f t="shared" si="86"/>
        <v>68.666666666666643</v>
      </c>
      <c r="L242" s="120">
        <f t="shared" si="86"/>
        <v>42.822580645161288</v>
      </c>
      <c r="M242" s="120">
        <f t="shared" si="87"/>
        <v>88.40425531914893</v>
      </c>
      <c r="N242" s="179"/>
      <c r="O242" s="179"/>
      <c r="P242" s="179"/>
    </row>
    <row r="243" spans="1:16">
      <c r="A243" s="24"/>
      <c r="B243" s="24"/>
      <c r="C243" s="97"/>
      <c r="D243" s="98"/>
      <c r="E243" s="108"/>
      <c r="F243" s="98"/>
      <c r="G243" s="32"/>
      <c r="H243" s="32"/>
      <c r="J243" s="125"/>
      <c r="K243" s="142">
        <f>SQRT(AVERAGE(N221:N242))</f>
        <v>19.649519307423322</v>
      </c>
      <c r="L243" s="142">
        <f t="shared" ref="L243:M243" si="97">SQRT(AVERAGE(O221:O242))</f>
        <v>20.15869578392703</v>
      </c>
      <c r="M243" s="142">
        <f t="shared" si="97"/>
        <v>24.80688167918963</v>
      </c>
    </row>
    <row r="244" spans="1:16">
      <c r="J244" s="159" t="s">
        <v>204</v>
      </c>
      <c r="K244" s="122">
        <f>COUNTIF(K212:K242,"&gt;=-10")-COUNTIF(K212:K242,"&gt;10")</f>
        <v>13</v>
      </c>
      <c r="L244" s="122">
        <f>COUNTIF(L212:L242,"&gt;=-10")-COUNTIF(L212:L242,"&gt;10")</f>
        <v>14</v>
      </c>
      <c r="M244" s="122">
        <f>COUNTIF(M212:M242,"&gt;=-10")-COUNTIF(M212:M242,"&gt;10")</f>
        <v>14</v>
      </c>
    </row>
    <row r="245" spans="1:16">
      <c r="J245" s="160" t="s">
        <v>205</v>
      </c>
      <c r="K245" s="123">
        <f>COUNTIF(K212:K242,"&gt;=-20")-COUNTIF(K212:K242,"&gt;20")</f>
        <v>21</v>
      </c>
      <c r="L245" s="123">
        <f>COUNTIF(L212:L242,"&gt;=-20")-COUNTIF(L212:L242,"&gt;20")</f>
        <v>20</v>
      </c>
      <c r="M245" s="123">
        <f>COUNTIF(M212:M242,"&gt;=-20")-COUNTIF(M212:M242,"&gt;20")</f>
        <v>19</v>
      </c>
    </row>
    <row r="246" spans="1:16" ht="17" thickBot="1">
      <c r="J246" s="161" t="s">
        <v>190</v>
      </c>
      <c r="K246" s="124">
        <f>COUNTIF(K212:K242,"&lt;-50")+COUNTIF(K212:K242,"&gt;50")</f>
        <v>3</v>
      </c>
      <c r="L246" s="124">
        <f>COUNTIF(L212:L242,"&lt;-50")+COUNTIF(L212:L242,"&gt;50")</f>
        <v>1</v>
      </c>
      <c r="M246" s="124">
        <f>COUNTIF(M212:M242,"&lt;-50")+COUNTIF(M212:M242,"&gt;50")</f>
        <v>3</v>
      </c>
    </row>
    <row r="247" spans="1:16">
      <c r="J247" s="5"/>
      <c r="M247"/>
    </row>
    <row r="248" spans="1:16">
      <c r="M248"/>
    </row>
  </sheetData>
  <conditionalFormatting sqref="K26:M39 K157:M180 K82:M103 K49:M72">
    <cfRule type="colorScale" priority="36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80:M81">
    <cfRule type="colorScale" priority="34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47:M48">
    <cfRule type="colorScale" priority="33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5:M39 K113:M150 K157:M180 K80:M103 K47:M72 K187:M205 K212:M243">
    <cfRule type="cellIs" dxfId="71" priority="25" operator="greaterThan">
      <formula>50</formula>
    </cfRule>
    <cfRule type="cellIs" dxfId="70" priority="26" operator="lessThan">
      <formula>-50</formula>
    </cfRule>
    <cfRule type="cellIs" dxfId="69" priority="27" operator="between">
      <formula>-20</formula>
      <formula>-50</formula>
    </cfRule>
    <cfRule type="cellIs" dxfId="68" priority="28" operator="between">
      <formula>20</formula>
      <formula>50</formula>
    </cfRule>
    <cfRule type="cellIs" dxfId="67" priority="29" operator="between">
      <formula>-10</formula>
      <formula>10</formula>
    </cfRule>
  </conditionalFormatting>
  <conditionalFormatting sqref="K110:M112">
    <cfRule type="cellIs" dxfId="66" priority="20" operator="greaterThan">
      <formula>50</formula>
    </cfRule>
    <cfRule type="cellIs" dxfId="65" priority="21" operator="lessThan">
      <formula>-50</formula>
    </cfRule>
    <cfRule type="cellIs" dxfId="64" priority="22" operator="between">
      <formula>-20</formula>
      <formula>-50</formula>
    </cfRule>
    <cfRule type="cellIs" dxfId="63" priority="23" operator="between">
      <formula>20</formula>
      <formula>50</formula>
    </cfRule>
    <cfRule type="cellIs" dxfId="62" priority="24" operator="between">
      <formula>-10</formula>
      <formula>10</formula>
    </cfRule>
  </conditionalFormatting>
  <conditionalFormatting sqref="K118:M118">
    <cfRule type="colorScale" priority="5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194:M194">
    <cfRule type="colorScale" priority="4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05:M205">
    <cfRule type="colorScale" priority="3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20:M220">
    <cfRule type="colorScale" priority="2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43:M243">
    <cfRule type="colorScale" priority="1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 horizontalDpi="4294967292" verticalDpi="4294967292"/>
  <tableParts count="8">
    <tablePart r:id="rId1"/>
    <tablePart r:id="rId2"/>
    <tablePart r:id="rId3"/>
    <tablePart r:id="rId4"/>
    <tablePart r:id="rId5"/>
    <tablePart r:id="rId6"/>
    <tablePart r:id="rId7"/>
    <tablePart r:id="rId8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RSAA/ANU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Sutherland</dc:creator>
  <cp:lastModifiedBy>Ralph Sutherland</cp:lastModifiedBy>
  <dcterms:created xsi:type="dcterms:W3CDTF">2013-12-18T01:11:49Z</dcterms:created>
  <dcterms:modified xsi:type="dcterms:W3CDTF">2019-09-18T09:23:04Z</dcterms:modified>
</cp:coreProperties>
</file>